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ub/code/fran/configurations/"/>
    </mc:Choice>
  </mc:AlternateContent>
  <xr:revisionPtr revIDLastSave="0" documentId="13_ncr:1_{ADDA7E0D-656A-F34B-929B-E550C8D94D8C}" xr6:coauthVersionLast="47" xr6:coauthVersionMax="47" xr10:uidLastSave="{00000000-0000-0000-0000-000000000000}"/>
  <bookViews>
    <workbookView xWindow="0" yWindow="660" windowWidth="34560" windowHeight="20160" tabRatio="500" activeTab="5" xr2:uid="{00000000-000D-0000-FFFF-FFFF00000000}"/>
  </bookViews>
  <sheets>
    <sheet name="model_params" sheetId="1" r:id="rId1"/>
    <sheet name="dataset_params" sheetId="2" r:id="rId2"/>
    <sheet name="transform_factors" sheetId="3" r:id="rId3"/>
    <sheet name="affine3d" sheetId="4" r:id="rId4"/>
    <sheet name="loss_params" sheetId="5" r:id="rId5"/>
    <sheet name="pla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29" i="6" l="1"/>
  <c r="H29" i="6"/>
  <c r="V28" i="6"/>
  <c r="V27" i="6"/>
  <c r="V26" i="6"/>
  <c r="V25" i="6"/>
  <c r="V24" i="6"/>
  <c r="V23" i="6"/>
  <c r="V22" i="6"/>
  <c r="V21" i="6"/>
  <c r="H21" i="6"/>
  <c r="V20" i="6"/>
  <c r="H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</calcChain>
</file>

<file path=xl/sharedStrings.xml><?xml version="1.0" encoding="utf-8"?>
<sst xmlns="http://schemas.openxmlformats.org/spreadsheetml/2006/main" count="490" uniqueCount="191">
  <si>
    <t>var_name</t>
  </si>
  <si>
    <t>tune_value</t>
  </si>
  <si>
    <t>tune_type</t>
  </si>
  <si>
    <t>tune</t>
  </si>
  <si>
    <t>manual_value</t>
  </si>
  <si>
    <t>quant</t>
  </si>
  <si>
    <t>Unnamed: 6</t>
  </si>
  <si>
    <t>Unnamed: 7</t>
  </si>
  <si>
    <t>Unnamed: 8</t>
  </si>
  <si>
    <t>Unnamed: 9</t>
  </si>
  <si>
    <t>base_ch_opts</t>
  </si>
  <si>
    <t>[16,32]</t>
  </si>
  <si>
    <t>choice</t>
  </si>
  <si>
    <t>rrr</t>
  </si>
  <si>
    <t>lr</t>
  </si>
  <si>
    <t>[1e-4,5e-2]</t>
  </si>
  <si>
    <t>qloguniform</t>
  </si>
  <si>
    <t>0.0005</t>
  </si>
  <si>
    <t>deep_supervision</t>
  </si>
  <si>
    <t>[True,False]</t>
  </si>
  <si>
    <t>1</t>
  </si>
  <si>
    <t>arch</t>
  </si>
  <si>
    <t>[ResidualUNet3D,UNet3D,VTUNet, nnUNet,SwinUNETR,DynUNet]</t>
  </si>
  <si>
    <t>nnUNet</t>
  </si>
  <si>
    <t>SwinUNETR</t>
  </si>
  <si>
    <t>DynUNet</t>
  </si>
  <si>
    <t>2.5D</t>
  </si>
  <si>
    <t>depth_opts</t>
  </si>
  <si>
    <t>[4,6]</t>
  </si>
  <si>
    <t>qrandint</t>
  </si>
  <si>
    <t>5</t>
  </si>
  <si>
    <t>optimizer</t>
  </si>
  <si>
    <t>Adam</t>
  </si>
  <si>
    <t>one_cycle</t>
  </si>
  <si>
    <t>0</t>
  </si>
  <si>
    <t>mom_low</t>
  </si>
  <si>
    <t>[0.6,0.9]</t>
  </si>
  <si>
    <t>spec</t>
  </si>
  <si>
    <t>0.85</t>
  </si>
  <si>
    <t>mom_added</t>
  </si>
  <si>
    <t>[0.5,0.25]</t>
  </si>
  <si>
    <t>0.1</t>
  </si>
  <si>
    <t>heavy</t>
  </si>
  <si>
    <t>layer_order</t>
  </si>
  <si>
    <t>clb</t>
  </si>
  <si>
    <t>in_channels</t>
  </si>
  <si>
    <t>n_bottlenecks</t>
  </si>
  <si>
    <t>[0,4]</t>
  </si>
  <si>
    <t>randint</t>
  </si>
  <si>
    <t>2</t>
  </si>
  <si>
    <t>4</t>
  </si>
  <si>
    <t>tune_region_id</t>
  </si>
  <si>
    <t>self_attention</t>
  </si>
  <si>
    <t>compiled</t>
  </si>
  <si>
    <t>Unnamed: 5</t>
  </si>
  <si>
    <t>Unnamed: 10</t>
  </si>
  <si>
    <t>fold</t>
  </si>
  <si>
    <t>3</t>
  </si>
  <si>
    <t>zoom</t>
  </si>
  <si>
    <t>if True, src_dims are used first then cropped to patch_size. I have not found this to add to accuracy</t>
  </si>
  <si>
    <t>batch_size</t>
  </si>
  <si>
    <t>samples_per_file</t>
  </si>
  <si>
    <t>src_dims</t>
  </si>
  <si>
    <t>[192,192,128]</t>
  </si>
  <si>
    <t>[192,192,96]</t>
  </si>
  <si>
    <t>[256,256,64]</t>
  </si>
  <si>
    <t>[160,160,160]</t>
  </si>
  <si>
    <t>[192,192,160]</t>
  </si>
  <si>
    <t>[220,220,110]</t>
  </si>
  <si>
    <t>[256,256,128]</t>
  </si>
  <si>
    <t>fgbg_ratio</t>
  </si>
  <si>
    <t>[None,tumour]</t>
  </si>
  <si>
    <t>[4,2,2,2,2,2]</t>
  </si>
  <si>
    <t>fake_tumours</t>
  </si>
  <si>
    <t>random_sample</t>
  </si>
  <si>
    <t>[0,1.]</t>
  </si>
  <si>
    <t>0.5</t>
  </si>
  <si>
    <t>cache_rate</t>
  </si>
  <si>
    <t>0.3</t>
  </si>
  <si>
    <t>ds_type</t>
  </si>
  <si>
    <t>src_dim0</t>
  </si>
  <si>
    <t>src_dim1</t>
  </si>
  <si>
    <t>tune_p</t>
  </si>
  <si>
    <t>manual_p</t>
  </si>
  <si>
    <t>contrast</t>
  </si>
  <si>
    <t>double_range</t>
  </si>
  <si>
    <t>[0.0,1.0]</t>
  </si>
  <si>
    <t>[0.25,0.5],[1.5,2.0]</t>
  </si>
  <si>
    <t>[0.7,1.3]</t>
  </si>
  <si>
    <t>shift</t>
  </si>
  <si>
    <t>[-1,-0.5],[0.5,1.0]</t>
  </si>
  <si>
    <t>[-1.0,1.0]</t>
  </si>
  <si>
    <t>absolute value shift</t>
  </si>
  <si>
    <t>scale</t>
  </si>
  <si>
    <t>noise_ub</t>
  </si>
  <si>
    <t>[0,.25],[.25,.5]</t>
  </si>
  <si>
    <t>[0,.25]</t>
  </si>
  <si>
    <t>noise_monai</t>
  </si>
  <si>
    <t>range</t>
  </si>
  <si>
    <t>[0.05,.25]</t>
  </si>
  <si>
    <t>noise</t>
  </si>
  <si>
    <t>brightness</t>
  </si>
  <si>
    <t>[0.5,1.0],[1.0,2.0]</t>
  </si>
  <si>
    <t>[0.7,2.0]</t>
  </si>
  <si>
    <t>flip</t>
  </si>
  <si>
    <t>Notes</t>
  </si>
  <si>
    <t>rotate_range</t>
  </si>
  <si>
    <t>[0,0.785]</t>
  </si>
  <si>
    <t>[0.20,0.2,0.35]</t>
  </si>
  <si>
    <t>translate_factor</t>
  </si>
  <si>
    <t>[0.05,0.15]</t>
  </si>
  <si>
    <t>uniform</t>
  </si>
  <si>
    <t>translate worsens dice</t>
  </si>
  <si>
    <t>scale_range</t>
  </si>
  <si>
    <t>[0.15,0.15,0.15]</t>
  </si>
  <si>
    <t>shear</t>
  </si>
  <si>
    <t>p</t>
  </si>
  <si>
    <t>[0.,1.]</t>
  </si>
  <si>
    <t>notes</t>
  </si>
  <si>
    <t>ce_weight</t>
  </si>
  <si>
    <t>lambda_ce</t>
  </si>
  <si>
    <t>lambda_dice</t>
  </si>
  <si>
    <t>reduction</t>
  </si>
  <si>
    <t>mean</t>
  </si>
  <si>
    <t>softmax</t>
  </si>
  <si>
    <t>mnemonic</t>
  </si>
  <si>
    <t>id</t>
  </si>
  <si>
    <t>datasources</t>
  </si>
  <si>
    <t>expand_by</t>
  </si>
  <si>
    <t>fg_indices_exclude</t>
  </si>
  <si>
    <t>imported_folder</t>
  </si>
  <si>
    <t>lm_groups</t>
  </si>
  <si>
    <t>merge_imported_labels</t>
  </si>
  <si>
    <t>mode</t>
  </si>
  <si>
    <t>patch_dim0</t>
  </si>
  <si>
    <t>patch_dim1</t>
  </si>
  <si>
    <t>patch_overlap</t>
  </si>
  <si>
    <t>remapping_source</t>
  </si>
  <si>
    <t>remapping_lbd</t>
  </si>
  <si>
    <t>remapping_whole</t>
  </si>
  <si>
    <t>remapping_imported</t>
  </si>
  <si>
    <t>remapping_train</t>
  </si>
  <si>
    <t>source_plan</t>
  </si>
  <si>
    <t>spacing</t>
  </si>
  <si>
    <t>use_fg_indices</t>
  </si>
  <si>
    <t>plan_valid</t>
  </si>
  <si>
    <t>plan_test</t>
  </si>
  <si>
    <t>run_name</t>
  </si>
  <si>
    <t>periodict_test</t>
  </si>
  <si>
    <t>nodes</t>
  </si>
  <si>
    <t>nodesthick,nodes</t>
  </si>
  <si>
    <t>source</t>
  </si>
  <si>
    <t>128</t>
  </si>
  <si>
    <t>96</t>
  </si>
  <si>
    <t>0.25</t>
  </si>
  <si>
    <t>0.8,.8,1.5</t>
  </si>
  <si>
    <t>$cold_storage_folder/predictions/totalseg/LITS-1088</t>
  </si>
  <si>
    <t>lbd</t>
  </si>
  <si>
    <t>TSL.all,TSL.all</t>
  </si>
  <si>
    <t>baseline</t>
  </si>
  <si>
    <t>plan1</t>
  </si>
  <si>
    <t>liver</t>
  </si>
  <si>
    <t>lits,drli,litq,litqsmall</t>
  </si>
  <si>
    <t>40</t>
  </si>
  <si>
    <t>10</t>
  </si>
  <si>
    <t>0.8,0.8,1.5</t>
  </si>
  <si>
    <t>patch</t>
  </si>
  <si>
    <t>plan4</t>
  </si>
  <si>
    <t>pbd</t>
  </si>
  <si>
    <t>LITS-860</t>
  </si>
  <si>
    <t>70</t>
  </si>
  <si>
    <t>plan7</t>
  </si>
  <si>
    <t>224</t>
  </si>
  <si>
    <t>lungs</t>
  </si>
  <si>
    <t>lidc</t>
  </si>
  <si>
    <t>$cold_storage_folder/predictions/totalseg/LITS-1439</t>
  </si>
  <si>
    <t>TSL.label_localiser,TSL.lungs</t>
  </si>
  <si>
    <t>totalseg</t>
  </si>
  <si>
    <t>whole</t>
  </si>
  <si>
    <t>TSL.all,TSL.label_localiser</t>
  </si>
  <si>
    <t>1.5, 1.5,1.5</t>
  </si>
  <si>
    <t>20</t>
  </si>
  <si>
    <t>1,1,1</t>
  </si>
  <si>
    <t>TSL.all,TSL.label_minimal</t>
  </si>
  <si>
    <t>192</t>
  </si>
  <si>
    <t>bones</t>
  </si>
  <si>
    <t>uls23_bone</t>
  </si>
  <si>
    <t>sourcepatch</t>
  </si>
  <si>
    <t>colon</t>
  </si>
  <si>
    <t>colonmsd10</t>
  </si>
  <si>
    <t>TSL.label_localiser,TSL.gi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</si>
</sst>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zoomScale="90" zoomScaleNormal="90" workbookViewId="0">
      <selection activeCell="E4" sqref="E4"/>
    </sheetView>
  </sheetViews>
  <sheetFormatPr baseColWidth="10" defaultColWidth="8.6640625" defaultRowHeight="15" x14ac:dyDescent="0.2"/>
  <cols>
    <col min="1" max="1" width="20.1640625" customWidth="1"/>
    <col min="2" max="2" width="47.83203125" customWidth="1"/>
    <col min="3" max="7" width="20.1640625" customWidth="1"/>
  </cols>
  <sheetData>
    <row r="1" spans="1:10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2">
      <c r="A2" t="s">
        <v>10</v>
      </c>
      <c r="B2" t="s">
        <v>11</v>
      </c>
      <c r="C2" t="s">
        <v>12</v>
      </c>
      <c r="D2">
        <v>1</v>
      </c>
      <c r="E2" t="s">
        <v>13</v>
      </c>
    </row>
    <row r="3" spans="1:10" ht="15" customHeight="1" x14ac:dyDescent="0.2">
      <c r="A3" t="s">
        <v>14</v>
      </c>
      <c r="B3" t="s">
        <v>15</v>
      </c>
      <c r="C3" t="s">
        <v>16</v>
      </c>
      <c r="D3">
        <v>1</v>
      </c>
      <c r="E3">
        <v>1E-3</v>
      </c>
      <c r="F3" t="s">
        <v>17</v>
      </c>
    </row>
    <row r="4" spans="1:10" ht="15" customHeight="1" x14ac:dyDescent="0.2">
      <c r="A4" t="s">
        <v>18</v>
      </c>
      <c r="B4" t="s">
        <v>19</v>
      </c>
      <c r="C4" t="s">
        <v>12</v>
      </c>
      <c r="D4">
        <v>1</v>
      </c>
      <c r="E4" t="s">
        <v>20</v>
      </c>
    </row>
    <row r="5" spans="1:10" ht="15" customHeight="1" x14ac:dyDescent="0.2">
      <c r="A5" t="s">
        <v>21</v>
      </c>
      <c r="B5" t="s">
        <v>22</v>
      </c>
      <c r="C5" t="s">
        <v>12</v>
      </c>
      <c r="D5">
        <v>0</v>
      </c>
      <c r="E5" t="s">
        <v>23</v>
      </c>
      <c r="F5" t="s">
        <v>23</v>
      </c>
      <c r="G5" t="s">
        <v>24</v>
      </c>
      <c r="H5" t="s">
        <v>25</v>
      </c>
      <c r="I5" t="s">
        <v>23</v>
      </c>
      <c r="J5" t="s">
        <v>26</v>
      </c>
    </row>
    <row r="6" spans="1:10" ht="15" customHeight="1" x14ac:dyDescent="0.2">
      <c r="A6" t="s">
        <v>27</v>
      </c>
      <c r="B6" t="s">
        <v>28</v>
      </c>
      <c r="C6" t="s">
        <v>29</v>
      </c>
      <c r="D6">
        <v>0</v>
      </c>
      <c r="E6" t="s">
        <v>30</v>
      </c>
      <c r="F6" t="s">
        <v>20</v>
      </c>
    </row>
    <row r="7" spans="1:10" ht="15" customHeight="1" x14ac:dyDescent="0.2">
      <c r="A7" t="s">
        <v>31</v>
      </c>
      <c r="D7">
        <v>0</v>
      </c>
      <c r="E7" t="s">
        <v>32</v>
      </c>
    </row>
    <row r="8" spans="1:10" ht="15" customHeight="1" x14ac:dyDescent="0.2">
      <c r="A8" t="s">
        <v>33</v>
      </c>
      <c r="B8" t="s">
        <v>19</v>
      </c>
      <c r="C8" t="s">
        <v>12</v>
      </c>
      <c r="D8">
        <v>0</v>
      </c>
      <c r="E8" t="s">
        <v>34</v>
      </c>
    </row>
    <row r="9" spans="1:10" ht="15" customHeight="1" x14ac:dyDescent="0.2">
      <c r="A9" t="s">
        <v>35</v>
      </c>
      <c r="B9" t="s">
        <v>36</v>
      </c>
      <c r="C9" t="s">
        <v>37</v>
      </c>
      <c r="D9">
        <v>0</v>
      </c>
      <c r="E9" t="s">
        <v>38</v>
      </c>
    </row>
    <row r="10" spans="1:10" ht="15" customHeight="1" x14ac:dyDescent="0.2">
      <c r="A10" t="s">
        <v>39</v>
      </c>
      <c r="B10" t="s">
        <v>40</v>
      </c>
      <c r="C10" t="s">
        <v>37</v>
      </c>
      <c r="D10">
        <v>0</v>
      </c>
      <c r="E10" t="s">
        <v>41</v>
      </c>
    </row>
    <row r="11" spans="1:10" ht="15" customHeight="1" x14ac:dyDescent="0.2">
      <c r="A11" t="s">
        <v>42</v>
      </c>
      <c r="B11" t="s">
        <v>19</v>
      </c>
      <c r="C11" t="s">
        <v>12</v>
      </c>
      <c r="D11">
        <v>0</v>
      </c>
      <c r="E11" t="s">
        <v>34</v>
      </c>
    </row>
    <row r="12" spans="1:10" ht="15" customHeight="1" x14ac:dyDescent="0.2">
      <c r="A12" t="s">
        <v>43</v>
      </c>
      <c r="D12">
        <v>0</v>
      </c>
      <c r="E12" t="s">
        <v>44</v>
      </c>
    </row>
    <row r="13" spans="1:10" ht="15" customHeight="1" x14ac:dyDescent="0.2">
      <c r="A13" t="s">
        <v>45</v>
      </c>
      <c r="D13">
        <v>0</v>
      </c>
      <c r="E13" t="s">
        <v>20</v>
      </c>
    </row>
    <row r="14" spans="1:10" ht="15" customHeight="1" x14ac:dyDescent="0.2">
      <c r="A14" t="s">
        <v>46</v>
      </c>
      <c r="B14" t="s">
        <v>47</v>
      </c>
      <c r="C14" t="s">
        <v>48</v>
      </c>
      <c r="D14">
        <v>0</v>
      </c>
      <c r="E14" t="s">
        <v>49</v>
      </c>
      <c r="F14" t="s">
        <v>50</v>
      </c>
    </row>
    <row r="15" spans="1:10" ht="15" customHeight="1" x14ac:dyDescent="0.2">
      <c r="A15" t="s">
        <v>51</v>
      </c>
      <c r="D15">
        <v>0</v>
      </c>
      <c r="E15" t="s">
        <v>20</v>
      </c>
    </row>
    <row r="16" spans="1:10" ht="15" customHeight="1" x14ac:dyDescent="0.2">
      <c r="A16" t="s">
        <v>52</v>
      </c>
      <c r="B16" t="s">
        <v>19</v>
      </c>
      <c r="C16" t="s">
        <v>12</v>
      </c>
      <c r="D16">
        <v>0</v>
      </c>
      <c r="E16" t="s">
        <v>20</v>
      </c>
    </row>
    <row r="17" spans="1:5" ht="15" customHeight="1" x14ac:dyDescent="0.2">
      <c r="A17" t="s">
        <v>53</v>
      </c>
      <c r="B17" t="s">
        <v>19</v>
      </c>
      <c r="C17" t="s">
        <v>12</v>
      </c>
      <c r="D17">
        <v>0</v>
      </c>
      <c r="E17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6"/>
  <sheetViews>
    <sheetView zoomScale="90" zoomScaleNormal="90" workbookViewId="0">
      <selection activeCell="A13" sqref="A13"/>
    </sheetView>
  </sheetViews>
  <sheetFormatPr baseColWidth="10" defaultColWidth="8.6640625" defaultRowHeight="15" x14ac:dyDescent="0.2"/>
  <cols>
    <col min="5" max="5" width="24.83203125" customWidth="1"/>
  </cols>
  <sheetData>
    <row r="1" spans="1:11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55</v>
      </c>
    </row>
    <row r="2" spans="1:11" ht="15" customHeight="1" x14ac:dyDescent="0.2">
      <c r="A2" t="s">
        <v>56</v>
      </c>
      <c r="D2">
        <v>0</v>
      </c>
      <c r="E2" t="s">
        <v>57</v>
      </c>
    </row>
    <row r="3" spans="1:11" ht="15" customHeight="1" x14ac:dyDescent="0.2">
      <c r="A3" t="s">
        <v>58</v>
      </c>
      <c r="E3" t="s">
        <v>20</v>
      </c>
      <c r="G3" t="s">
        <v>59</v>
      </c>
    </row>
    <row r="4" spans="1:11" ht="15" customHeight="1" x14ac:dyDescent="0.2">
      <c r="A4" t="s">
        <v>60</v>
      </c>
      <c r="E4" t="s">
        <v>30</v>
      </c>
    </row>
    <row r="5" spans="1:11" ht="15" customHeight="1" x14ac:dyDescent="0.2">
      <c r="A5" t="s">
        <v>61</v>
      </c>
      <c r="E5" t="s">
        <v>49</v>
      </c>
    </row>
    <row r="6" spans="1:11" ht="15" customHeight="1" x14ac:dyDescent="0.2">
      <c r="A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</row>
    <row r="7" spans="1:11" ht="15" customHeight="1" x14ac:dyDescent="0.2">
      <c r="A7" t="s">
        <v>70</v>
      </c>
      <c r="B7" t="s">
        <v>71</v>
      </c>
      <c r="C7" t="s">
        <v>12</v>
      </c>
      <c r="D7">
        <v>0</v>
      </c>
      <c r="E7" t="s">
        <v>57</v>
      </c>
      <c r="I7" t="s">
        <v>72</v>
      </c>
    </row>
    <row r="8" spans="1:11" ht="15" customHeight="1" x14ac:dyDescent="0.2">
      <c r="A8" t="s">
        <v>73</v>
      </c>
      <c r="B8" t="s">
        <v>19</v>
      </c>
      <c r="C8" t="s">
        <v>12</v>
      </c>
      <c r="D8">
        <v>0</v>
      </c>
      <c r="E8" t="s">
        <v>34</v>
      </c>
    </row>
    <row r="9" spans="1:11" ht="15" customHeight="1" x14ac:dyDescent="0.2">
      <c r="A9" t="s">
        <v>74</v>
      </c>
      <c r="B9" t="s">
        <v>75</v>
      </c>
      <c r="D9">
        <v>0</v>
      </c>
      <c r="E9" t="s">
        <v>76</v>
      </c>
    </row>
    <row r="10" spans="1:11" ht="15" customHeight="1" x14ac:dyDescent="0.2">
      <c r="A10" t="s">
        <v>77</v>
      </c>
      <c r="B10" t="s">
        <v>78</v>
      </c>
      <c r="E10">
        <v>0</v>
      </c>
    </row>
    <row r="11" spans="1:11" ht="15" customHeight="1" x14ac:dyDescent="0.2">
      <c r="A11" t="s">
        <v>79</v>
      </c>
    </row>
    <row r="12" spans="1:11" ht="15" customHeight="1" x14ac:dyDescent="0.2"/>
    <row r="13" spans="1:11" ht="15" customHeight="1" x14ac:dyDescent="0.2"/>
    <row r="14" spans="1:11" ht="15" customHeight="1" x14ac:dyDescent="0.2">
      <c r="A14" t="s">
        <v>80</v>
      </c>
      <c r="E14">
        <v>192</v>
      </c>
    </row>
    <row r="15" spans="1:11" ht="15" customHeight="1" x14ac:dyDescent="0.2">
      <c r="A15" t="s">
        <v>81</v>
      </c>
      <c r="E15">
        <v>128</v>
      </c>
    </row>
    <row r="1048575" ht="12.75" customHeight="1" x14ac:dyDescent="0.2"/>
    <row r="1048576" ht="12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="90" zoomScaleNormal="90" workbookViewId="0">
      <selection activeCell="L48" sqref="L48"/>
    </sheetView>
  </sheetViews>
  <sheetFormatPr baseColWidth="10" defaultColWidth="8.6640625" defaultRowHeight="15" x14ac:dyDescent="0.2"/>
  <cols>
    <col min="1" max="1" width="20" customWidth="1"/>
    <col min="2" max="2" width="18.33203125" customWidth="1"/>
  </cols>
  <sheetData>
    <row r="1" spans="1:8" ht="15" customHeight="1" x14ac:dyDescent="0.2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spans="1:8" ht="15" customHeight="1" x14ac:dyDescent="0.2">
      <c r="A2" t="s">
        <v>84</v>
      </c>
      <c r="B2">
        <v>1</v>
      </c>
      <c r="C2" t="s">
        <v>85</v>
      </c>
      <c r="D2" t="s">
        <v>86</v>
      </c>
      <c r="E2" t="s">
        <v>87</v>
      </c>
      <c r="F2">
        <v>0.1</v>
      </c>
      <c r="G2" t="s">
        <v>88</v>
      </c>
    </row>
    <row r="3" spans="1:8" ht="15" customHeight="1" x14ac:dyDescent="0.2">
      <c r="A3" t="s">
        <v>89</v>
      </c>
      <c r="B3">
        <v>1</v>
      </c>
      <c r="C3" t="s">
        <v>85</v>
      </c>
      <c r="D3" t="s">
        <v>86</v>
      </c>
      <c r="E3" t="s">
        <v>90</v>
      </c>
      <c r="F3">
        <v>0.1</v>
      </c>
      <c r="G3" t="s">
        <v>91</v>
      </c>
      <c r="H3" t="s">
        <v>92</v>
      </c>
    </row>
    <row r="4" spans="1:8" ht="15" customHeight="1" x14ac:dyDescent="0.2">
      <c r="A4" t="s">
        <v>93</v>
      </c>
      <c r="B4">
        <v>1</v>
      </c>
      <c r="C4" t="s">
        <v>85</v>
      </c>
      <c r="D4" t="s">
        <v>86</v>
      </c>
      <c r="E4" t="s">
        <v>90</v>
      </c>
      <c r="F4">
        <v>0.1</v>
      </c>
      <c r="G4" t="s">
        <v>91</v>
      </c>
    </row>
    <row r="5" spans="1:8" ht="15" customHeight="1" x14ac:dyDescent="0.2">
      <c r="A5" t="s">
        <v>94</v>
      </c>
      <c r="B5">
        <v>0</v>
      </c>
      <c r="C5" t="s">
        <v>85</v>
      </c>
      <c r="D5" t="s">
        <v>86</v>
      </c>
      <c r="E5" t="s">
        <v>95</v>
      </c>
      <c r="F5">
        <v>0.1</v>
      </c>
      <c r="G5" t="s">
        <v>96</v>
      </c>
    </row>
    <row r="6" spans="1:8" ht="15" customHeight="1" x14ac:dyDescent="0.2">
      <c r="A6" t="s">
        <v>97</v>
      </c>
      <c r="B6">
        <v>0</v>
      </c>
      <c r="C6" t="s">
        <v>98</v>
      </c>
      <c r="D6" t="s">
        <v>86</v>
      </c>
      <c r="E6" t="s">
        <v>99</v>
      </c>
      <c r="F6">
        <v>0.1</v>
      </c>
      <c r="G6" t="s">
        <v>41</v>
      </c>
    </row>
    <row r="7" spans="1:8" ht="15" customHeight="1" x14ac:dyDescent="0.2">
      <c r="A7" t="s">
        <v>100</v>
      </c>
      <c r="B7">
        <v>0</v>
      </c>
      <c r="C7" t="s">
        <v>85</v>
      </c>
      <c r="D7" t="s">
        <v>86</v>
      </c>
      <c r="E7" t="s">
        <v>95</v>
      </c>
      <c r="F7">
        <v>0.1</v>
      </c>
      <c r="G7" t="s">
        <v>99</v>
      </c>
    </row>
    <row r="8" spans="1:8" ht="15" customHeight="1" x14ac:dyDescent="0.2">
      <c r="A8" t="s">
        <v>101</v>
      </c>
      <c r="B8">
        <v>1</v>
      </c>
      <c r="C8" t="s">
        <v>85</v>
      </c>
      <c r="D8" t="s">
        <v>86</v>
      </c>
      <c r="E8" t="s">
        <v>102</v>
      </c>
      <c r="F8">
        <v>0.1</v>
      </c>
      <c r="G8" t="s">
        <v>103</v>
      </c>
    </row>
    <row r="9" spans="1:8" ht="15" customHeight="1" x14ac:dyDescent="0.2">
      <c r="A9" t="s">
        <v>104</v>
      </c>
      <c r="B9">
        <v>0</v>
      </c>
      <c r="C9" t="s">
        <v>12</v>
      </c>
      <c r="D9" t="s">
        <v>86</v>
      </c>
      <c r="E9" t="s">
        <v>19</v>
      </c>
      <c r="F9">
        <v>0.1</v>
      </c>
      <c r="G9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zoomScale="90" zoomScaleNormal="9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spans="1:6" ht="15" customHeight="1" x14ac:dyDescent="0.2">
      <c r="A2" t="s">
        <v>106</v>
      </c>
      <c r="C2" t="s">
        <v>107</v>
      </c>
      <c r="D2">
        <v>0</v>
      </c>
      <c r="E2" t="s">
        <v>108</v>
      </c>
    </row>
    <row r="3" spans="1:6" ht="15" customHeight="1" x14ac:dyDescent="0.2">
      <c r="A3" t="s">
        <v>109</v>
      </c>
      <c r="B3" t="s">
        <v>110</v>
      </c>
      <c r="C3" t="s">
        <v>111</v>
      </c>
      <c r="D3">
        <v>0</v>
      </c>
      <c r="E3" t="s">
        <v>34</v>
      </c>
      <c r="F3" t="s">
        <v>112</v>
      </c>
    </row>
    <row r="4" spans="1:6" ht="15" customHeight="1" x14ac:dyDescent="0.2">
      <c r="A4" t="s">
        <v>113</v>
      </c>
      <c r="B4" t="s">
        <v>102</v>
      </c>
      <c r="C4" t="s">
        <v>85</v>
      </c>
      <c r="D4">
        <v>0</v>
      </c>
      <c r="E4" t="s">
        <v>114</v>
      </c>
    </row>
    <row r="5" spans="1:6" ht="15" customHeight="1" x14ac:dyDescent="0.2">
      <c r="A5" t="s">
        <v>115</v>
      </c>
      <c r="D5">
        <v>0</v>
      </c>
      <c r="E5" t="s">
        <v>34</v>
      </c>
    </row>
    <row r="6" spans="1:6" ht="15" customHeight="1" x14ac:dyDescent="0.2">
      <c r="A6" t="s">
        <v>116</v>
      </c>
      <c r="B6" t="s">
        <v>117</v>
      </c>
      <c r="C6" t="s">
        <v>111</v>
      </c>
      <c r="D6">
        <v>0</v>
      </c>
      <c r="E6" t="s">
        <v>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="90" zoomScaleNormal="9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spans="1:6" ht="15" customHeight="1" x14ac:dyDescent="0.2">
      <c r="A2" t="s">
        <v>119</v>
      </c>
      <c r="D2">
        <v>0</v>
      </c>
    </row>
    <row r="3" spans="1:6" ht="15" customHeight="1" x14ac:dyDescent="0.2">
      <c r="A3" t="s">
        <v>120</v>
      </c>
      <c r="E3" t="s">
        <v>20</v>
      </c>
    </row>
    <row r="4" spans="1:6" ht="15" customHeight="1" x14ac:dyDescent="0.2">
      <c r="A4" t="s">
        <v>121</v>
      </c>
      <c r="D4">
        <v>0</v>
      </c>
      <c r="E4" t="s">
        <v>20</v>
      </c>
    </row>
    <row r="5" spans="1:6" ht="15" customHeight="1" x14ac:dyDescent="0.2">
      <c r="A5" t="s">
        <v>122</v>
      </c>
      <c r="D5">
        <v>0</v>
      </c>
      <c r="E5" t="s">
        <v>123</v>
      </c>
    </row>
    <row r="6" spans="1:6" ht="15" customHeight="1" x14ac:dyDescent="0.2">
      <c r="A6" t="s">
        <v>124</v>
      </c>
      <c r="D6">
        <v>0</v>
      </c>
      <c r="E6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29"/>
  <sheetViews>
    <sheetView tabSelected="1" zoomScale="90" zoomScaleNormal="90" workbookViewId="0">
      <selection activeCell="D30" sqref="D30"/>
    </sheetView>
  </sheetViews>
  <sheetFormatPr baseColWidth="10" defaultColWidth="10.1640625" defaultRowHeight="15" x14ac:dyDescent="0.2"/>
  <cols>
    <col min="1" max="1" width="8.6640625" customWidth="1"/>
    <col min="2" max="2" width="13.6640625" customWidth="1"/>
    <col min="3" max="5" width="8.6640625" customWidth="1"/>
    <col min="6" max="6" width="36.6640625" customWidth="1"/>
    <col min="7" max="12" width="8.6640625" customWidth="1"/>
    <col min="13" max="16" width="20.5" customWidth="1"/>
    <col min="17" max="17" width="24.83203125" customWidth="1"/>
    <col min="18" max="18" width="8.6640625" customWidth="1"/>
    <col min="19" max="19" width="15" customWidth="1"/>
    <col min="20" max="20" width="13.1640625" customWidth="1"/>
    <col min="21" max="21" width="13.83203125" customWidth="1"/>
    <col min="22" max="22" width="22.1640625" customWidth="1"/>
    <col min="23" max="31" width="8.6640625" customWidth="1"/>
  </cols>
  <sheetData>
    <row r="1" spans="1:31" ht="15" customHeight="1" x14ac:dyDescent="0.2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61</v>
      </c>
      <c r="S1" t="s">
        <v>142</v>
      </c>
      <c r="T1" t="s">
        <v>143</v>
      </c>
      <c r="U1" t="s">
        <v>0</v>
      </c>
      <c r="V1" t="s">
        <v>144</v>
      </c>
      <c r="W1" t="s">
        <v>145</v>
      </c>
      <c r="X1" t="s">
        <v>146</v>
      </c>
      <c r="Y1" t="s">
        <v>147</v>
      </c>
      <c r="Z1" t="s">
        <v>4</v>
      </c>
      <c r="AA1" t="s">
        <v>1</v>
      </c>
      <c r="AB1" t="s">
        <v>2</v>
      </c>
      <c r="AC1" t="s">
        <v>3</v>
      </c>
      <c r="AD1" t="s">
        <v>5</v>
      </c>
      <c r="AE1" t="s">
        <v>148</v>
      </c>
    </row>
    <row r="2" spans="1:31" ht="15" customHeight="1" x14ac:dyDescent="0.2">
      <c r="A2" t="s">
        <v>149</v>
      </c>
      <c r="B2">
        <v>1</v>
      </c>
      <c r="C2" t="s">
        <v>150</v>
      </c>
      <c r="D2" t="s">
        <v>34</v>
      </c>
      <c r="I2" t="s">
        <v>151</v>
      </c>
      <c r="J2" t="s">
        <v>152</v>
      </c>
      <c r="K2" t="s">
        <v>153</v>
      </c>
      <c r="L2" t="s">
        <v>154</v>
      </c>
      <c r="R2" t="s">
        <v>49</v>
      </c>
      <c r="T2" t="s">
        <v>155</v>
      </c>
      <c r="U2" t="s">
        <v>4</v>
      </c>
      <c r="V2" t="b">
        <f>TRUE()</f>
        <v>1</v>
      </c>
    </row>
    <row r="3" spans="1:31" ht="15" customHeight="1" x14ac:dyDescent="0.2">
      <c r="A3" t="s">
        <v>149</v>
      </c>
      <c r="B3">
        <v>2</v>
      </c>
      <c r="C3" t="s">
        <v>150</v>
      </c>
      <c r="D3" t="s">
        <v>34</v>
      </c>
      <c r="F3" t="s">
        <v>156</v>
      </c>
      <c r="H3" t="s">
        <v>34</v>
      </c>
      <c r="I3" t="s">
        <v>157</v>
      </c>
      <c r="J3" t="s">
        <v>152</v>
      </c>
      <c r="K3" t="s">
        <v>153</v>
      </c>
      <c r="L3" t="s">
        <v>154</v>
      </c>
      <c r="P3" t="s">
        <v>158</v>
      </c>
      <c r="R3" t="s">
        <v>49</v>
      </c>
      <c r="T3" t="s">
        <v>155</v>
      </c>
      <c r="U3" t="s">
        <v>4</v>
      </c>
      <c r="V3" t="b">
        <f>TRUE()</f>
        <v>1</v>
      </c>
    </row>
    <row r="4" spans="1:31" ht="15" customHeight="1" x14ac:dyDescent="0.2">
      <c r="A4" t="s">
        <v>149</v>
      </c>
      <c r="B4">
        <v>3</v>
      </c>
      <c r="C4" t="s">
        <v>149</v>
      </c>
      <c r="D4" t="s">
        <v>34</v>
      </c>
      <c r="I4" t="s">
        <v>159</v>
      </c>
      <c r="J4" t="s">
        <v>152</v>
      </c>
      <c r="K4" t="s">
        <v>153</v>
      </c>
      <c r="L4" t="s">
        <v>154</v>
      </c>
      <c r="R4" t="s">
        <v>20</v>
      </c>
      <c r="S4" t="s">
        <v>160</v>
      </c>
      <c r="T4" t="s">
        <v>155</v>
      </c>
      <c r="U4" t="s">
        <v>4</v>
      </c>
      <c r="V4" t="b">
        <f>TRUE()</f>
        <v>1</v>
      </c>
    </row>
    <row r="5" spans="1:31" ht="15" customHeight="1" x14ac:dyDescent="0.2">
      <c r="A5" t="s">
        <v>149</v>
      </c>
      <c r="B5">
        <v>4</v>
      </c>
      <c r="C5" t="s">
        <v>149</v>
      </c>
      <c r="D5">
        <v>0</v>
      </c>
      <c r="I5" t="s">
        <v>157</v>
      </c>
      <c r="J5" t="s">
        <v>152</v>
      </c>
      <c r="K5" t="s">
        <v>153</v>
      </c>
      <c r="L5" t="s">
        <v>154</v>
      </c>
      <c r="T5" t="s">
        <v>155</v>
      </c>
      <c r="U5" t="s">
        <v>4</v>
      </c>
      <c r="V5" t="b">
        <f>TRUE()</f>
        <v>1</v>
      </c>
    </row>
    <row r="6" spans="1:31" ht="15" customHeight="1" x14ac:dyDescent="0.2">
      <c r="A6" t="s">
        <v>149</v>
      </c>
      <c r="B6">
        <v>5</v>
      </c>
      <c r="C6" t="s">
        <v>150</v>
      </c>
      <c r="D6" t="s">
        <v>34</v>
      </c>
      <c r="I6" t="s">
        <v>151</v>
      </c>
      <c r="J6">
        <v>192</v>
      </c>
      <c r="K6" t="s">
        <v>153</v>
      </c>
      <c r="L6" t="s">
        <v>154</v>
      </c>
      <c r="R6" t="s">
        <v>49</v>
      </c>
      <c r="T6" t="s">
        <v>155</v>
      </c>
      <c r="U6" t="s">
        <v>4</v>
      </c>
      <c r="V6" t="b">
        <f>TRUE()</f>
        <v>1</v>
      </c>
    </row>
    <row r="7" spans="1:31" ht="15" customHeight="1" x14ac:dyDescent="0.2">
      <c r="A7" t="s">
        <v>149</v>
      </c>
      <c r="B7">
        <v>6</v>
      </c>
      <c r="C7" t="s">
        <v>150</v>
      </c>
      <c r="D7">
        <v>50</v>
      </c>
      <c r="F7" t="s">
        <v>156</v>
      </c>
      <c r="I7" t="s">
        <v>157</v>
      </c>
      <c r="J7" t="s">
        <v>152</v>
      </c>
      <c r="K7" t="s">
        <v>153</v>
      </c>
      <c r="L7" t="s">
        <v>154</v>
      </c>
      <c r="P7" t="s">
        <v>158</v>
      </c>
      <c r="R7">
        <v>2</v>
      </c>
      <c r="T7" t="s">
        <v>155</v>
      </c>
      <c r="U7" t="s">
        <v>4</v>
      </c>
      <c r="V7" t="b">
        <f>TRUE()</f>
        <v>1</v>
      </c>
    </row>
    <row r="8" spans="1:31" ht="15" customHeight="1" x14ac:dyDescent="0.2">
      <c r="A8" t="s">
        <v>149</v>
      </c>
      <c r="B8">
        <v>7</v>
      </c>
      <c r="C8" t="s">
        <v>150</v>
      </c>
      <c r="D8">
        <v>50</v>
      </c>
      <c r="F8" t="s">
        <v>156</v>
      </c>
      <c r="I8" t="s">
        <v>157</v>
      </c>
      <c r="J8">
        <v>192</v>
      </c>
      <c r="K8" t="s">
        <v>153</v>
      </c>
      <c r="L8" t="s">
        <v>154</v>
      </c>
      <c r="P8" t="s">
        <v>158</v>
      </c>
      <c r="R8">
        <v>2</v>
      </c>
      <c r="T8" t="s">
        <v>155</v>
      </c>
      <c r="U8" t="s">
        <v>4</v>
      </c>
      <c r="V8" t="b">
        <f>TRUE()</f>
        <v>1</v>
      </c>
    </row>
    <row r="9" spans="1:31" ht="15" customHeight="1" x14ac:dyDescent="0.2">
      <c r="A9" t="s">
        <v>149</v>
      </c>
      <c r="B9">
        <v>8</v>
      </c>
      <c r="C9" t="s">
        <v>150</v>
      </c>
      <c r="D9">
        <v>75</v>
      </c>
      <c r="F9" t="s">
        <v>156</v>
      </c>
      <c r="I9" t="s">
        <v>157</v>
      </c>
      <c r="J9">
        <v>192</v>
      </c>
      <c r="K9" t="s">
        <v>153</v>
      </c>
      <c r="L9" t="s">
        <v>154</v>
      </c>
      <c r="P9" t="s">
        <v>158</v>
      </c>
      <c r="R9">
        <v>2</v>
      </c>
      <c r="T9" t="s">
        <v>155</v>
      </c>
      <c r="U9" t="s">
        <v>4</v>
      </c>
      <c r="V9" t="b">
        <f>TRUE()</f>
        <v>1</v>
      </c>
    </row>
    <row r="10" spans="1:31" ht="15" customHeight="1" x14ac:dyDescent="0.2">
      <c r="A10" t="s">
        <v>161</v>
      </c>
      <c r="B10">
        <v>1</v>
      </c>
      <c r="C10" t="s">
        <v>162</v>
      </c>
      <c r="D10" t="s">
        <v>163</v>
      </c>
      <c r="E10" t="s">
        <v>20</v>
      </c>
      <c r="I10" t="s">
        <v>157</v>
      </c>
      <c r="J10" t="s">
        <v>152</v>
      </c>
      <c r="K10" t="s">
        <v>153</v>
      </c>
      <c r="R10" t="s">
        <v>49</v>
      </c>
      <c r="T10" t="s">
        <v>155</v>
      </c>
      <c r="V10" t="b">
        <f>TRUE()</f>
        <v>1</v>
      </c>
    </row>
    <row r="11" spans="1:31" ht="15" customHeight="1" x14ac:dyDescent="0.2">
      <c r="A11" t="s">
        <v>161</v>
      </c>
      <c r="B11">
        <v>3</v>
      </c>
      <c r="C11" t="s">
        <v>162</v>
      </c>
      <c r="I11" t="s">
        <v>151</v>
      </c>
      <c r="J11" t="s">
        <v>152</v>
      </c>
      <c r="K11" t="s">
        <v>153</v>
      </c>
      <c r="R11" t="s">
        <v>49</v>
      </c>
      <c r="T11" t="s">
        <v>155</v>
      </c>
      <c r="V11" t="b">
        <f>TRUE()</f>
        <v>1</v>
      </c>
    </row>
    <row r="12" spans="1:31" ht="15" customHeight="1" x14ac:dyDescent="0.2">
      <c r="A12" t="s">
        <v>161</v>
      </c>
      <c r="B12">
        <v>4</v>
      </c>
      <c r="C12" t="s">
        <v>162</v>
      </c>
      <c r="D12" t="s">
        <v>164</v>
      </c>
      <c r="I12" t="s">
        <v>157</v>
      </c>
      <c r="J12" t="s">
        <v>152</v>
      </c>
      <c r="K12" t="s">
        <v>153</v>
      </c>
      <c r="R12" t="s">
        <v>49</v>
      </c>
      <c r="T12" t="s">
        <v>165</v>
      </c>
      <c r="V12" t="b">
        <f>TRUE()</f>
        <v>1</v>
      </c>
    </row>
    <row r="13" spans="1:31" ht="15" customHeight="1" x14ac:dyDescent="0.2">
      <c r="A13" t="s">
        <v>161</v>
      </c>
      <c r="B13">
        <v>5</v>
      </c>
      <c r="C13" t="s">
        <v>162</v>
      </c>
      <c r="I13" t="s">
        <v>166</v>
      </c>
      <c r="L13" t="s">
        <v>154</v>
      </c>
      <c r="R13" t="s">
        <v>20</v>
      </c>
      <c r="S13" t="s">
        <v>167</v>
      </c>
      <c r="T13" t="s">
        <v>155</v>
      </c>
      <c r="V13" t="b">
        <f>TRUE()</f>
        <v>1</v>
      </c>
    </row>
    <row r="14" spans="1:31" ht="15" customHeight="1" x14ac:dyDescent="0.2">
      <c r="A14" t="s">
        <v>161</v>
      </c>
      <c r="B14">
        <v>6</v>
      </c>
      <c r="C14" t="s">
        <v>162</v>
      </c>
      <c r="D14" t="s">
        <v>163</v>
      </c>
      <c r="I14" t="s">
        <v>168</v>
      </c>
      <c r="J14" t="s">
        <v>152</v>
      </c>
      <c r="K14" t="s">
        <v>153</v>
      </c>
      <c r="R14" t="s">
        <v>49</v>
      </c>
      <c r="T14" t="s">
        <v>155</v>
      </c>
      <c r="V14" t="b">
        <f>TRUE()</f>
        <v>1</v>
      </c>
      <c r="Y14" t="s">
        <v>169</v>
      </c>
    </row>
    <row r="15" spans="1:31" ht="15" customHeight="1" x14ac:dyDescent="0.2">
      <c r="A15" t="s">
        <v>161</v>
      </c>
      <c r="B15">
        <v>7</v>
      </c>
      <c r="C15" t="s">
        <v>162</v>
      </c>
      <c r="D15" t="s">
        <v>170</v>
      </c>
      <c r="I15" t="s">
        <v>157</v>
      </c>
      <c r="J15" t="s">
        <v>152</v>
      </c>
      <c r="K15" t="s">
        <v>153</v>
      </c>
      <c r="R15" t="s">
        <v>49</v>
      </c>
      <c r="T15" t="s">
        <v>155</v>
      </c>
      <c r="V15" t="b">
        <f>TRUE()</f>
        <v>1</v>
      </c>
    </row>
    <row r="16" spans="1:31" ht="15" customHeight="1" x14ac:dyDescent="0.2">
      <c r="A16" t="s">
        <v>161</v>
      </c>
      <c r="B16">
        <v>8</v>
      </c>
      <c r="C16" t="s">
        <v>162</v>
      </c>
      <c r="I16" t="s">
        <v>159</v>
      </c>
      <c r="R16" t="s">
        <v>20</v>
      </c>
      <c r="S16" t="s">
        <v>171</v>
      </c>
      <c r="V16" t="b">
        <f>TRUE()</f>
        <v>1</v>
      </c>
    </row>
    <row r="17" spans="1:31" ht="15" customHeight="1" x14ac:dyDescent="0.2">
      <c r="A17" t="s">
        <v>161</v>
      </c>
      <c r="B17">
        <v>9</v>
      </c>
      <c r="C17" t="s">
        <v>162</v>
      </c>
      <c r="D17" t="s">
        <v>34</v>
      </c>
      <c r="I17" t="s">
        <v>157</v>
      </c>
      <c r="J17" t="s">
        <v>172</v>
      </c>
      <c r="K17" t="s">
        <v>153</v>
      </c>
      <c r="R17" t="s">
        <v>49</v>
      </c>
      <c r="T17" t="s">
        <v>165</v>
      </c>
      <c r="V17" t="b">
        <f>TRUE()</f>
        <v>1</v>
      </c>
    </row>
    <row r="18" spans="1:31" ht="15" customHeight="1" x14ac:dyDescent="0.2">
      <c r="A18" t="s">
        <v>161</v>
      </c>
      <c r="B18">
        <v>11</v>
      </c>
      <c r="C18" t="s">
        <v>162</v>
      </c>
      <c r="D18" t="s">
        <v>163</v>
      </c>
      <c r="E18" t="s">
        <v>20</v>
      </c>
      <c r="I18" t="s">
        <v>157</v>
      </c>
      <c r="J18" t="s">
        <v>152</v>
      </c>
      <c r="K18" t="s">
        <v>153</v>
      </c>
      <c r="R18" t="s">
        <v>20</v>
      </c>
      <c r="T18" t="s">
        <v>155</v>
      </c>
      <c r="V18" t="b">
        <f>TRUE()</f>
        <v>1</v>
      </c>
    </row>
    <row r="19" spans="1:31" ht="15" customHeight="1" x14ac:dyDescent="0.2">
      <c r="A19" t="s">
        <v>161</v>
      </c>
      <c r="B19">
        <v>2</v>
      </c>
      <c r="C19" t="s">
        <v>162</v>
      </c>
      <c r="D19">
        <v>40</v>
      </c>
      <c r="E19" t="s">
        <v>20</v>
      </c>
      <c r="I19" t="s">
        <v>166</v>
      </c>
      <c r="L19" t="s">
        <v>154</v>
      </c>
      <c r="T19" t="s">
        <v>155</v>
      </c>
      <c r="V19" t="b">
        <f>TRUE()</f>
        <v>1</v>
      </c>
    </row>
    <row r="20" spans="1:31" ht="15" customHeight="1" x14ac:dyDescent="0.2">
      <c r="A20" t="s">
        <v>173</v>
      </c>
      <c r="B20">
        <v>1</v>
      </c>
      <c r="C20" t="s">
        <v>174</v>
      </c>
      <c r="D20" t="s">
        <v>34</v>
      </c>
      <c r="F20" t="s">
        <v>175</v>
      </c>
      <c r="H20" t="b">
        <f>FALSE()</f>
        <v>0</v>
      </c>
      <c r="I20" t="s">
        <v>157</v>
      </c>
      <c r="J20" t="s">
        <v>152</v>
      </c>
      <c r="K20" t="s">
        <v>153</v>
      </c>
      <c r="L20" t="s">
        <v>154</v>
      </c>
      <c r="P20" t="s">
        <v>176</v>
      </c>
      <c r="R20" t="s">
        <v>49</v>
      </c>
      <c r="T20" t="s">
        <v>155</v>
      </c>
      <c r="U20" t="s">
        <v>4</v>
      </c>
      <c r="V20" t="b">
        <f>TRUE()</f>
        <v>1</v>
      </c>
    </row>
    <row r="21" spans="1:31" ht="15" customHeight="1" x14ac:dyDescent="0.2">
      <c r="A21" t="s">
        <v>173</v>
      </c>
      <c r="B21">
        <v>2</v>
      </c>
      <c r="C21" t="s">
        <v>174</v>
      </c>
      <c r="D21">
        <v>50</v>
      </c>
      <c r="F21" t="s">
        <v>175</v>
      </c>
      <c r="H21" t="b">
        <f>FALSE()</f>
        <v>0</v>
      </c>
      <c r="I21" t="s">
        <v>157</v>
      </c>
      <c r="J21" t="s">
        <v>152</v>
      </c>
      <c r="K21" t="s">
        <v>153</v>
      </c>
      <c r="L21" t="s">
        <v>154</v>
      </c>
      <c r="P21" t="s">
        <v>176</v>
      </c>
      <c r="R21" t="s">
        <v>49</v>
      </c>
      <c r="T21" t="s">
        <v>155</v>
      </c>
      <c r="U21" t="s">
        <v>4</v>
      </c>
      <c r="V21" t="b">
        <f>TRUE()</f>
        <v>1</v>
      </c>
    </row>
    <row r="22" spans="1:31" ht="15" customHeight="1" x14ac:dyDescent="0.2">
      <c r="A22" t="s">
        <v>177</v>
      </c>
      <c r="B22">
        <v>1</v>
      </c>
      <c r="C22" t="s">
        <v>177</v>
      </c>
      <c r="D22" t="s">
        <v>34</v>
      </c>
      <c r="I22" t="s">
        <v>151</v>
      </c>
      <c r="J22" t="s">
        <v>152</v>
      </c>
      <c r="K22" t="s">
        <v>153</v>
      </c>
      <c r="T22" t="s">
        <v>155</v>
      </c>
      <c r="U22" t="s">
        <v>4</v>
      </c>
      <c r="V22" t="b">
        <f>TRUE()</f>
        <v>1</v>
      </c>
      <c r="AE22">
        <v>10</v>
      </c>
    </row>
    <row r="23" spans="1:31" ht="15" customHeight="1" x14ac:dyDescent="0.2">
      <c r="A23" t="s">
        <v>177</v>
      </c>
      <c r="B23">
        <v>2</v>
      </c>
      <c r="C23" t="s">
        <v>177</v>
      </c>
      <c r="D23" t="s">
        <v>41</v>
      </c>
      <c r="I23" t="s">
        <v>178</v>
      </c>
      <c r="J23" t="s">
        <v>153</v>
      </c>
      <c r="K23" t="s">
        <v>153</v>
      </c>
      <c r="O23" t="s">
        <v>179</v>
      </c>
      <c r="S23" t="s">
        <v>160</v>
      </c>
      <c r="U23" t="s">
        <v>4</v>
      </c>
      <c r="V23" t="b">
        <f>FALSE()</f>
        <v>0</v>
      </c>
      <c r="AE23">
        <v>0</v>
      </c>
    </row>
    <row r="24" spans="1:31" ht="15" customHeight="1" x14ac:dyDescent="0.2">
      <c r="A24" t="s">
        <v>177</v>
      </c>
      <c r="B24">
        <v>3</v>
      </c>
      <c r="C24" t="s">
        <v>177</v>
      </c>
      <c r="D24" t="s">
        <v>34</v>
      </c>
      <c r="I24" t="s">
        <v>157</v>
      </c>
      <c r="J24" t="s">
        <v>153</v>
      </c>
      <c r="K24" t="s">
        <v>153</v>
      </c>
      <c r="R24" t="s">
        <v>49</v>
      </c>
      <c r="T24" t="s">
        <v>180</v>
      </c>
      <c r="U24" t="s">
        <v>4</v>
      </c>
      <c r="V24" t="b">
        <f>TRUE()</f>
        <v>1</v>
      </c>
      <c r="AE24">
        <v>10</v>
      </c>
    </row>
    <row r="25" spans="1:31" ht="15" customHeight="1" x14ac:dyDescent="0.2">
      <c r="A25" t="s">
        <v>177</v>
      </c>
      <c r="B25">
        <v>4</v>
      </c>
      <c r="C25" t="s">
        <v>177</v>
      </c>
      <c r="D25" t="s">
        <v>181</v>
      </c>
      <c r="I25" t="s">
        <v>157</v>
      </c>
      <c r="J25" t="s">
        <v>152</v>
      </c>
      <c r="K25" t="s">
        <v>153</v>
      </c>
      <c r="R25" t="s">
        <v>49</v>
      </c>
      <c r="T25" t="s">
        <v>182</v>
      </c>
      <c r="U25" t="s">
        <v>4</v>
      </c>
      <c r="V25" t="b">
        <f>TRUE()</f>
        <v>1</v>
      </c>
      <c r="AE25">
        <v>10</v>
      </c>
    </row>
    <row r="26" spans="1:31" ht="15" customHeight="1" x14ac:dyDescent="0.2">
      <c r="A26" t="s">
        <v>177</v>
      </c>
      <c r="B26">
        <v>5</v>
      </c>
      <c r="C26" t="s">
        <v>177</v>
      </c>
      <c r="D26" t="s">
        <v>181</v>
      </c>
      <c r="I26" t="s">
        <v>157</v>
      </c>
      <c r="J26" t="s">
        <v>152</v>
      </c>
      <c r="K26" t="s">
        <v>153</v>
      </c>
      <c r="N26" t="s">
        <v>183</v>
      </c>
      <c r="R26" t="s">
        <v>49</v>
      </c>
      <c r="T26" t="s">
        <v>182</v>
      </c>
      <c r="U26" t="s">
        <v>4</v>
      </c>
      <c r="V26" t="b">
        <f>TRUE()</f>
        <v>1</v>
      </c>
      <c r="AE26">
        <v>10</v>
      </c>
    </row>
    <row r="27" spans="1:31" ht="15" customHeight="1" x14ac:dyDescent="0.2">
      <c r="A27" t="s">
        <v>177</v>
      </c>
      <c r="B27">
        <v>6</v>
      </c>
      <c r="C27" t="s">
        <v>177</v>
      </c>
      <c r="D27" t="s">
        <v>181</v>
      </c>
      <c r="I27" t="s">
        <v>151</v>
      </c>
      <c r="J27" t="s">
        <v>184</v>
      </c>
      <c r="K27" t="s">
        <v>153</v>
      </c>
      <c r="M27" t="s">
        <v>183</v>
      </c>
      <c r="R27" t="s">
        <v>49</v>
      </c>
      <c r="T27" t="s">
        <v>182</v>
      </c>
      <c r="U27" t="s">
        <v>4</v>
      </c>
      <c r="V27" t="b">
        <f>FALSE()</f>
        <v>0</v>
      </c>
      <c r="AE27">
        <v>10</v>
      </c>
    </row>
    <row r="28" spans="1:31" ht="15" customHeight="1" x14ac:dyDescent="0.2">
      <c r="A28" t="s">
        <v>185</v>
      </c>
      <c r="B28">
        <v>1</v>
      </c>
      <c r="C28" t="s">
        <v>186</v>
      </c>
      <c r="D28">
        <v>20</v>
      </c>
      <c r="I28" t="s">
        <v>187</v>
      </c>
      <c r="J28" t="s">
        <v>152</v>
      </c>
      <c r="K28" t="s">
        <v>153</v>
      </c>
      <c r="R28" t="s">
        <v>49</v>
      </c>
      <c r="T28" t="s">
        <v>182</v>
      </c>
      <c r="U28" t="s">
        <v>4</v>
      </c>
      <c r="V28" t="b">
        <f>TRUE()</f>
        <v>1</v>
      </c>
      <c r="Y28" t="s">
        <v>169</v>
      </c>
    </row>
    <row r="29" spans="1:31" ht="15" customHeight="1" x14ac:dyDescent="0.2">
      <c r="A29" t="s">
        <v>188</v>
      </c>
      <c r="B29">
        <v>1</v>
      </c>
      <c r="C29" t="s">
        <v>189</v>
      </c>
      <c r="D29">
        <v>50</v>
      </c>
      <c r="F29" t="s">
        <v>175</v>
      </c>
      <c r="H29" t="b">
        <f>FALSE()</f>
        <v>0</v>
      </c>
      <c r="I29" t="s">
        <v>157</v>
      </c>
      <c r="J29" t="s">
        <v>152</v>
      </c>
      <c r="K29" t="s">
        <v>153</v>
      </c>
      <c r="L29" t="s">
        <v>154</v>
      </c>
      <c r="P29" t="s">
        <v>190</v>
      </c>
      <c r="R29" t="s">
        <v>49</v>
      </c>
      <c r="T29" t="s">
        <v>155</v>
      </c>
      <c r="U29" t="s">
        <v>4</v>
      </c>
      <c r="V29" t="b">
        <f>TRUE()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model_params</vt:lpstr>
      <vt:lpstr>dataset_params</vt:lpstr>
      <vt:lpstr>transform_factors</vt:lpstr>
      <vt:lpstr>affine3d</vt:lpstr>
      <vt:lpstr>loss_params</vt:lpstr>
      <vt:lpstr>plans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Usman Bashir</cp:lastModifiedBy>
  <cp:revision>62</cp:revision>
  <dcterms:created xsi:type="dcterms:W3CDTF">2025-08-25T17:03:20Z</dcterms:created>
  <dcterms:modified xsi:type="dcterms:W3CDTF">2026-02-28T04:42:13Z</dcterms:modified>
  <dc:language>en-US</dc:language>
</cp:coreProperties>
</file>