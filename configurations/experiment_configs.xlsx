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ub/"/>
    </mc:Choice>
  </mc:AlternateContent>
  <xr:revisionPtr revIDLastSave="0" documentId="13_ncr:1_{7DAF8D59-24E8-7C4E-BA75-E97E34FA116A}" xr6:coauthVersionLast="47" xr6:coauthVersionMax="47" xr10:uidLastSave="{00000000-0000-0000-0000-000000000000}"/>
  <bookViews>
    <workbookView xWindow="0" yWindow="660" windowWidth="28720" windowHeight="12040" tabRatio="500" firstSheet="1" activeTab="7" xr2:uid="{00000000-000D-0000-FFFF-FFFF00000000}"/>
  </bookViews>
  <sheets>
    <sheet name="model_params" sheetId="1" r:id="rId1"/>
    <sheet name="dataset_params" sheetId="2" r:id="rId2"/>
    <sheet name="transform_factors" sheetId="3" r:id="rId3"/>
    <sheet name="affine3d" sheetId="4" r:id="rId4"/>
    <sheet name="loss_params" sheetId="5" r:id="rId5"/>
    <sheet name="plans" sheetId="6" r:id="rId6"/>
    <sheet name="resnet" sheetId="7" r:id="rId7"/>
    <sheet name="plans_dot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7" i="6" l="1"/>
  <c r="X47" i="6"/>
  <c r="I47" i="6"/>
  <c r="Y46" i="6"/>
  <c r="X46" i="6"/>
  <c r="I46" i="6"/>
  <c r="Y45" i="6"/>
  <c r="X45" i="6"/>
  <c r="I45" i="6"/>
  <c r="Y44" i="6"/>
  <c r="X44" i="6"/>
  <c r="I44" i="6"/>
  <c r="Y43" i="6"/>
  <c r="X43" i="6"/>
  <c r="I43" i="6"/>
  <c r="Y42" i="6"/>
  <c r="X42" i="6"/>
  <c r="I42" i="6"/>
  <c r="Y41" i="6"/>
  <c r="X41" i="6"/>
  <c r="I41" i="6"/>
  <c r="Y40" i="6"/>
  <c r="X40" i="6"/>
  <c r="I40" i="6"/>
  <c r="Y39" i="6"/>
  <c r="X39" i="6"/>
  <c r="I39" i="6"/>
  <c r="Y38" i="6"/>
  <c r="X38" i="6"/>
  <c r="I38" i="6"/>
  <c r="Y37" i="6"/>
  <c r="X37" i="6"/>
  <c r="I37" i="6"/>
  <c r="Y36" i="6"/>
  <c r="X36" i="6"/>
  <c r="I36" i="6"/>
  <c r="Y35" i="6"/>
  <c r="X35" i="6"/>
  <c r="I35" i="6"/>
  <c r="Y34" i="6"/>
  <c r="X34" i="6"/>
  <c r="Y33" i="6"/>
  <c r="X33" i="6"/>
  <c r="Y32" i="6"/>
  <c r="X32" i="6"/>
  <c r="Y31" i="6"/>
  <c r="X31" i="6"/>
  <c r="Y30" i="6"/>
  <c r="X30" i="6"/>
  <c r="Y29" i="6"/>
  <c r="X29" i="6"/>
  <c r="Y28" i="6"/>
  <c r="X28" i="6"/>
  <c r="Y27" i="6"/>
  <c r="X27" i="6"/>
  <c r="I27" i="6"/>
  <c r="Y26" i="6"/>
  <c r="X26" i="6"/>
  <c r="I26" i="6"/>
  <c r="Y25" i="6"/>
  <c r="X25" i="6"/>
  <c r="I25" i="6"/>
  <c r="Y24" i="6"/>
  <c r="X24" i="6"/>
  <c r="I24" i="6"/>
  <c r="Y23" i="6"/>
  <c r="X23" i="6"/>
  <c r="I23" i="6"/>
  <c r="Y22" i="6"/>
  <c r="X22" i="6"/>
  <c r="I22" i="6"/>
  <c r="Y21" i="6"/>
  <c r="X21" i="6"/>
  <c r="I21" i="6"/>
  <c r="Y20" i="6"/>
  <c r="X20" i="6"/>
  <c r="I20" i="6"/>
  <c r="Y19" i="6"/>
  <c r="X19" i="6"/>
  <c r="Y18" i="6"/>
  <c r="X18" i="6"/>
  <c r="Y17" i="6"/>
  <c r="X17" i="6"/>
  <c r="Y16" i="6"/>
  <c r="X16" i="6"/>
  <c r="Y15" i="6"/>
  <c r="X15" i="6"/>
  <c r="Y14" i="6"/>
  <c r="X14" i="6"/>
  <c r="Y13" i="6"/>
  <c r="X13" i="6"/>
  <c r="Y12" i="6"/>
  <c r="X12" i="6"/>
  <c r="Y11" i="6"/>
  <c r="X11" i="6"/>
  <c r="Y10" i="6"/>
  <c r="X10" i="6"/>
  <c r="Y9" i="6"/>
  <c r="X9" i="6"/>
  <c r="Y8" i="6"/>
  <c r="X8" i="6"/>
  <c r="Y7" i="6"/>
  <c r="X7" i="6"/>
  <c r="Y6" i="6"/>
  <c r="X6" i="6"/>
  <c r="Y5" i="6"/>
  <c r="X5" i="6"/>
  <c r="Y4" i="6"/>
  <c r="X4" i="6"/>
  <c r="Y3" i="6"/>
  <c r="X3" i="6"/>
  <c r="Y2" i="6"/>
  <c r="X2" i="6"/>
  <c r="E7" i="5"/>
  <c r="E19" i="1"/>
</calcChain>
</file>

<file path=xl/sharedStrings.xml><?xml version="1.0" encoding="utf-8"?>
<sst xmlns="http://schemas.openxmlformats.org/spreadsheetml/2006/main" count="720" uniqueCount="233">
  <si>
    <t>var_name</t>
  </si>
  <si>
    <t>tune_value</t>
  </si>
  <si>
    <t>tune_type</t>
  </si>
  <si>
    <t>tune</t>
  </si>
  <si>
    <t>manual_value</t>
  </si>
  <si>
    <t>quant</t>
  </si>
  <si>
    <t>arch</t>
  </si>
  <si>
    <t>[ResNet3D]</t>
  </si>
  <si>
    <t>choice</t>
  </si>
  <si>
    <t>ResNet3D</t>
  </si>
  <si>
    <t>resnet_depth</t>
  </si>
  <si>
    <t>[10,18,34,50,101,152]</t>
  </si>
  <si>
    <t>n_scalars</t>
  </si>
  <si>
    <t>pretrained</t>
  </si>
  <si>
    <t>[True,False]</t>
  </si>
  <si>
    <t>Unnamed: 6</t>
  </si>
  <si>
    <t>Unnamed: 7</t>
  </si>
  <si>
    <t>Unnamed: 8</t>
  </si>
  <si>
    <t>Unnamed: 9</t>
  </si>
  <si>
    <t>base_ch_opts</t>
  </si>
  <si>
    <t>[16,32]</t>
  </si>
  <si>
    <t>rrr</t>
  </si>
  <si>
    <t>lr</t>
  </si>
  <si>
    <t>[1e-4,5e-2]</t>
  </si>
  <si>
    <t>qloguniform</t>
  </si>
  <si>
    <t>0.0005</t>
  </si>
  <si>
    <t>deep_supervision</t>
  </si>
  <si>
    <t>1</t>
  </si>
  <si>
    <t>[ResidualUNet3D,UNet3D,VTUNet, nnUNet,SwinUNETR,DynUNet, ResUnet]</t>
  </si>
  <si>
    <t>ResUNet</t>
  </si>
  <si>
    <t>nnUNet</t>
  </si>
  <si>
    <t>SwinUNETR</t>
  </si>
  <si>
    <t>DynUNet</t>
  </si>
  <si>
    <t>2.5D</t>
  </si>
  <si>
    <t>depth_opts</t>
  </si>
  <si>
    <t>[4,6]</t>
  </si>
  <si>
    <t>qrandint</t>
  </si>
  <si>
    <t>5</t>
  </si>
  <si>
    <t>optimizer</t>
  </si>
  <si>
    <t>Adam</t>
  </si>
  <si>
    <t>one_cycle</t>
  </si>
  <si>
    <t>0</t>
  </si>
  <si>
    <t>mom_low</t>
  </si>
  <si>
    <t>[0.6,0.9]</t>
  </si>
  <si>
    <t>spec</t>
  </si>
  <si>
    <t>0.85</t>
  </si>
  <si>
    <t>mom_added</t>
  </si>
  <si>
    <t>[0.5,0.25]</t>
  </si>
  <si>
    <t>0.1</t>
  </si>
  <si>
    <t>heavy</t>
  </si>
  <si>
    <t>layer_order</t>
  </si>
  <si>
    <t>clb</t>
  </si>
  <si>
    <t>in_channels</t>
  </si>
  <si>
    <t>n_bottlenecks</t>
  </si>
  <si>
    <t>[0,4]</t>
  </si>
  <si>
    <t>randint</t>
  </si>
  <si>
    <t>2</t>
  </si>
  <si>
    <t>4</t>
  </si>
  <si>
    <t>tune_region_id</t>
  </si>
  <si>
    <t>self_attention</t>
  </si>
  <si>
    <t>compiled</t>
  </si>
  <si>
    <t>nnunet_use_residual</t>
  </si>
  <si>
    <t>n_blocks_per_level</t>
  </si>
  <si>
    <t>lr_scheduler</t>
  </si>
  <si>
    <t>ReduceLROnPlateau</t>
  </si>
  <si>
    <t>scheduler_mode</t>
  </si>
  <si>
    <t>min</t>
  </si>
  <si>
    <t>scheduler_patience</t>
  </si>
  <si>
    <t>scheduler_monitor</t>
  </si>
  <si>
    <t>train0_loss</t>
  </si>
  <si>
    <t>scheduler_frequency</t>
  </si>
  <si>
    <t>weight_decay</t>
  </si>
  <si>
    <t>momentum</t>
  </si>
  <si>
    <t>Unnamed: 5</t>
  </si>
  <si>
    <t>Unnamed: 10</t>
  </si>
  <si>
    <t>fold</t>
  </si>
  <si>
    <t>3</t>
  </si>
  <si>
    <t>zoom</t>
  </si>
  <si>
    <t>if True, src_dims are used first then cropped to patch_size. I have not found this to add to accuracy</t>
  </si>
  <si>
    <t>batch_size</t>
  </si>
  <si>
    <t>samples_per_file</t>
  </si>
  <si>
    <t>src_dims</t>
  </si>
  <si>
    <t>[192,192,128]</t>
  </si>
  <si>
    <t>[192,192,96]</t>
  </si>
  <si>
    <t>[256,256,64]</t>
  </si>
  <si>
    <t>[160,160,160]</t>
  </si>
  <si>
    <t>[192,192,160]</t>
  </si>
  <si>
    <t>[220,220,110]</t>
  </si>
  <si>
    <t>[256,256,128]</t>
  </si>
  <si>
    <t>fgbg_ratio</t>
  </si>
  <si>
    <t>[None,tumour]</t>
  </si>
  <si>
    <t>[4,2,2,2,2,2]</t>
  </si>
  <si>
    <t>fake_tumours</t>
  </si>
  <si>
    <t>random_sample</t>
  </si>
  <si>
    <t>[0,1.]</t>
  </si>
  <si>
    <t>0.5</t>
  </si>
  <si>
    <t>cache_rate</t>
  </si>
  <si>
    <t>0.3</t>
  </si>
  <si>
    <t>ds_type</t>
  </si>
  <si>
    <t>src_dim0</t>
  </si>
  <si>
    <t>src_dim1</t>
  </si>
  <si>
    <t>tune_p</t>
  </si>
  <si>
    <t>manual_p</t>
  </si>
  <si>
    <t>contrast</t>
  </si>
  <si>
    <t>double_range</t>
  </si>
  <si>
    <t>[0.0,1.0]</t>
  </si>
  <si>
    <t>[0.25,0.5],[1.5,2.0]</t>
  </si>
  <si>
    <t>[0.7,1.3]</t>
  </si>
  <si>
    <t>shift</t>
  </si>
  <si>
    <t>[-1,-0.5],[0.5,1.0]</t>
  </si>
  <si>
    <t>[-1.0,1.0]</t>
  </si>
  <si>
    <t>absolute value shift</t>
  </si>
  <si>
    <t>scale</t>
  </si>
  <si>
    <t>noise_ub</t>
  </si>
  <si>
    <t>[0,.25],[.25,.5]</t>
  </si>
  <si>
    <t>[0,.25]</t>
  </si>
  <si>
    <t>noise_monai</t>
  </si>
  <si>
    <t>range</t>
  </si>
  <si>
    <t>[0.05,.25]</t>
  </si>
  <si>
    <t>noise</t>
  </si>
  <si>
    <t>brightness</t>
  </si>
  <si>
    <t>[0.5,1.0],[1.0,2.0]</t>
  </si>
  <si>
    <t>[0.7,2.0]</t>
  </si>
  <si>
    <t>flip</t>
  </si>
  <si>
    <t>Notes</t>
  </si>
  <si>
    <t>rotate_range</t>
  </si>
  <si>
    <t>[0,0.785]</t>
  </si>
  <si>
    <t>[0.20,0.2,0.35]</t>
  </si>
  <si>
    <t>translate_factor</t>
  </si>
  <si>
    <t>[0.05,0.15]</t>
  </si>
  <si>
    <t>uniform</t>
  </si>
  <si>
    <t>translate worsens dice</t>
  </si>
  <si>
    <t>scale_range</t>
  </si>
  <si>
    <t>[0.15,0.15,0.15]</t>
  </si>
  <si>
    <t>shear</t>
  </si>
  <si>
    <t>p</t>
  </si>
  <si>
    <t>[0.,1.]</t>
  </si>
  <si>
    <t>notes</t>
  </si>
  <si>
    <t>ce_weight</t>
  </si>
  <si>
    <t>lambda_ce</t>
  </si>
  <si>
    <t>lambda_dice</t>
  </si>
  <si>
    <t>reduction</t>
  </si>
  <si>
    <t>mean</t>
  </si>
  <si>
    <t>softmax</t>
  </si>
  <si>
    <t>include_background</t>
  </si>
  <si>
    <t>mnemonic</t>
  </si>
  <si>
    <t>id</t>
  </si>
  <si>
    <t>datasources</t>
  </si>
  <si>
    <t>expand_by</t>
  </si>
  <si>
    <t>fg_indices_exclude</t>
  </si>
  <si>
    <t>imported_folder</t>
  </si>
  <si>
    <t>lm_groups</t>
  </si>
  <si>
    <t>merge_imported_labels</t>
  </si>
  <si>
    <t>mode</t>
  </si>
  <si>
    <t>source_plan</t>
  </si>
  <si>
    <t>patch_dim0</t>
  </si>
  <si>
    <t>patch_dim1</t>
  </si>
  <si>
    <t>patch_overlap</t>
  </si>
  <si>
    <t>remapping_source</t>
  </si>
  <si>
    <t>vip_label</t>
  </si>
  <si>
    <t>remapping_lbd</t>
  </si>
  <si>
    <t>remapping_whole</t>
  </si>
  <si>
    <t>remapping_imported</t>
  </si>
  <si>
    <t>remapping_train</t>
  </si>
  <si>
    <t>spacing</t>
  </si>
  <si>
    <t>use_fg_indices</t>
  </si>
  <si>
    <t>nnz_allowed</t>
  </si>
  <si>
    <t>plan_valid</t>
  </si>
  <si>
    <t>plan_test</t>
  </si>
  <si>
    <t>periodict_test</t>
  </si>
  <si>
    <t>nodes</t>
  </si>
  <si>
    <t>nodesthick,nodes</t>
  </si>
  <si>
    <t>source</t>
  </si>
  <si>
    <t>128</t>
  </si>
  <si>
    <t>96</t>
  </si>
  <si>
    <t>0.25</t>
  </si>
  <si>
    <t>0.8,.8,1.5</t>
  </si>
  <si>
    <t>$cold_storage_folder/predictions/totalseg/LITS-1439</t>
  </si>
  <si>
    <t>lbd</t>
  </si>
  <si>
    <t>TSL.label_localiser:TSL.label_localiser,TSL.label_localiser:TSL.label_localiser</t>
  </si>
  <si>
    <t>baseline</t>
  </si>
  <si>
    <t>1, source</t>
  </si>
  <si>
    <t>liver</t>
  </si>
  <si>
    <t>lits,drli,litq,litqsmall</t>
  </si>
  <si>
    <t>40</t>
  </si>
  <si>
    <t>10</t>
  </si>
  <si>
    <t>0.8,0.8,1.5</t>
  </si>
  <si>
    <t>pbd</t>
  </si>
  <si>
    <t>4, lbd</t>
  </si>
  <si>
    <t>70</t>
  </si>
  <si>
    <t>224</t>
  </si>
  <si>
    <t>lungs</t>
  </si>
  <si>
    <t>lidc</t>
  </si>
  <si>
    <t>TSL.label_localiser:TSL.lungs</t>
  </si>
  <si>
    <t>{1:1,2:1,3:2,4:3,5:3}</t>
  </si>
  <si>
    <t>5, lbd</t>
  </si>
  <si>
    <t>{1:1,2:1,3:1,4:1,5:1}</t>
  </si>
  <si>
    <t>0.75, 0.75,0.75</t>
  </si>
  <si>
    <t>totalseg</t>
  </si>
  <si>
    <t>whole</t>
  </si>
  <si>
    <t>TSL.label_full:TSL.label_localiser</t>
  </si>
  <si>
    <t>1.5, 1.5,1.5</t>
  </si>
  <si>
    <t>20</t>
  </si>
  <si>
    <t>1,1,1</t>
  </si>
  <si>
    <t>TSL.label_full:TSL.label_minimal</t>
  </si>
  <si>
    <t>192</t>
  </si>
  <si>
    <t>bones</t>
  </si>
  <si>
    <t>uls23_bone</t>
  </si>
  <si>
    <t>sourcepbd</t>
  </si>
  <si>
    <t>colon</t>
  </si>
  <si>
    <t>colonmsd10</t>
  </si>
  <si>
    <t>TSL.label_localiser:TSL.gi</t>
  </si>
  <si>
    <t>pancreas</t>
  </si>
  <si>
    <t>pancreasmsd07, curvaspdac</t>
  </si>
  <si>
    <t>DS.pancreasmsd07/lms,$cold_storage_folder/predictions/totalseg/LITS-1437</t>
  </si>
  <si>
    <t>{1:0,2:1},None</t>
  </si>
  <si>
    <t>{1:3},TSL.label_minimal: TSL.pancreas</t>
  </si>
  <si>
    <t>kidneys</t>
  </si>
  <si>
    <t>all labels</t>
  </si>
  <si>
    <t>kits23</t>
  </si>
  <si>
    <t>{1:1,2:2,3:2}</t>
  </si>
  <si>
    <t>0.8,.8,0.8</t>
  </si>
  <si>
    <t>test</t>
  </si>
  <si>
    <t>drli_short, lidc_short,kits23_short</t>
  </si>
  <si>
    <t>{1:0,2:1,3:1},{1:1,2:1,3:2,4:2,5:2},{1:1,2:2,3:2}</t>
  </si>
  <si>
    <t>TSL.label_localiser:TSL.lungs,None,None</t>
  </si>
  <si>
    <t>expand_mode</t>
  </si>
  <si>
    <t>0.2,0.1,0.1</t>
  </si>
  <si>
    <t>pct</t>
  </si>
  <si>
    <t>dot</t>
  </si>
  <si>
    <t>{1:0}</t>
  </si>
  <si>
    <t>{2:0,3:1}</t>
  </si>
  <si>
    <t>remapping_train_resnet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</si>
</sst>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2" x14ac:knownFonts="1">
    <font>
      <sz val="11"/>
      <color theme="1"/>
      <name val="Calibri"/>
      <family val="2"/>
      <charset val="1"/>
    </font>
    <font>
      <b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"/>
  <sheetViews>
    <sheetView zoomScale="110" zoomScaleNormal="110" workbookViewId="0">
      <selection activeCell="A7" sqref="A7"/>
    </sheetView>
  </sheetViews>
  <sheetFormatPr baseColWidth="10" defaultColWidth="8.6640625" defaultRowHeight="15" x14ac:dyDescent="0.2"/>
  <cols>
    <col min="1" max="1" width="20.1640625" customWidth="1"/>
    <col min="2" max="2" width="47.83203125" customWidth="1"/>
    <col min="3" max="7" width="20.1640625" customWidth="1"/>
  </cols>
  <sheetData>
    <row r="1" spans="1:10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16</v>
      </c>
      <c r="I1" s="1" t="s">
        <v>17</v>
      </c>
      <c r="J1" s="1" t="s">
        <v>18</v>
      </c>
    </row>
    <row r="2" spans="1:10" ht="15" customHeight="1" x14ac:dyDescent="0.2">
      <c r="A2" t="s">
        <v>19</v>
      </c>
      <c r="B2" t="s">
        <v>20</v>
      </c>
      <c r="C2" t="s">
        <v>8</v>
      </c>
      <c r="D2">
        <v>1</v>
      </c>
      <c r="E2" t="s">
        <v>21</v>
      </c>
    </row>
    <row r="3" spans="1:10" ht="15" customHeight="1" x14ac:dyDescent="0.2">
      <c r="A3" t="s">
        <v>22</v>
      </c>
      <c r="B3" t="s">
        <v>23</v>
      </c>
      <c r="C3" t="s">
        <v>24</v>
      </c>
      <c r="D3">
        <v>1</v>
      </c>
      <c r="E3" s="2">
        <v>0.01</v>
      </c>
      <c r="F3" t="s">
        <v>25</v>
      </c>
    </row>
    <row r="4" spans="1:10" ht="15" customHeight="1" x14ac:dyDescent="0.2">
      <c r="A4" t="s">
        <v>26</v>
      </c>
      <c r="B4" t="s">
        <v>14</v>
      </c>
      <c r="C4" t="s">
        <v>8</v>
      </c>
      <c r="D4">
        <v>1</v>
      </c>
      <c r="E4" t="s">
        <v>27</v>
      </c>
    </row>
    <row r="5" spans="1:10" ht="15" customHeight="1" x14ac:dyDescent="0.2">
      <c r="A5" t="s">
        <v>6</v>
      </c>
      <c r="B5" t="s">
        <v>28</v>
      </c>
      <c r="C5" t="s">
        <v>8</v>
      </c>
      <c r="D5">
        <v>0</v>
      </c>
      <c r="E5" t="s">
        <v>29</v>
      </c>
      <c r="F5" t="s">
        <v>30</v>
      </c>
      <c r="G5" t="s">
        <v>31</v>
      </c>
      <c r="H5" t="s">
        <v>32</v>
      </c>
      <c r="I5" t="s">
        <v>30</v>
      </c>
      <c r="J5" t="s">
        <v>33</v>
      </c>
    </row>
    <row r="6" spans="1:10" ht="15" customHeight="1" x14ac:dyDescent="0.2">
      <c r="A6" t="s">
        <v>34</v>
      </c>
      <c r="B6" t="s">
        <v>35</v>
      </c>
      <c r="C6" t="s">
        <v>36</v>
      </c>
      <c r="D6">
        <v>0</v>
      </c>
      <c r="E6" t="s">
        <v>37</v>
      </c>
      <c r="F6" t="s">
        <v>27</v>
      </c>
    </row>
    <row r="7" spans="1:10" ht="15" customHeight="1" x14ac:dyDescent="0.2"/>
    <row r="8" spans="1:10" ht="15" customHeight="1" x14ac:dyDescent="0.2">
      <c r="A8" t="s">
        <v>38</v>
      </c>
      <c r="D8">
        <v>0</v>
      </c>
      <c r="E8" t="s">
        <v>39</v>
      </c>
    </row>
    <row r="9" spans="1:10" ht="15" customHeight="1" x14ac:dyDescent="0.2">
      <c r="A9" t="s">
        <v>40</v>
      </c>
      <c r="B9" t="s">
        <v>14</v>
      </c>
      <c r="C9" t="s">
        <v>8</v>
      </c>
      <c r="D9">
        <v>0</v>
      </c>
      <c r="E9" t="s">
        <v>41</v>
      </c>
    </row>
    <row r="10" spans="1:10" ht="15" customHeight="1" x14ac:dyDescent="0.2">
      <c r="A10" t="s">
        <v>42</v>
      </c>
      <c r="B10" t="s">
        <v>43</v>
      </c>
      <c r="C10" t="s">
        <v>44</v>
      </c>
      <c r="D10">
        <v>0</v>
      </c>
      <c r="E10" t="s">
        <v>45</v>
      </c>
    </row>
    <row r="11" spans="1:10" ht="15" customHeight="1" x14ac:dyDescent="0.2">
      <c r="A11" t="s">
        <v>46</v>
      </c>
      <c r="B11" t="s">
        <v>47</v>
      </c>
      <c r="C11" t="s">
        <v>44</v>
      </c>
      <c r="D11">
        <v>0</v>
      </c>
      <c r="E11" t="s">
        <v>48</v>
      </c>
    </row>
    <row r="12" spans="1:10" ht="15" customHeight="1" x14ac:dyDescent="0.2">
      <c r="A12" t="s">
        <v>49</v>
      </c>
      <c r="B12" t="s">
        <v>14</v>
      </c>
      <c r="C12" t="s">
        <v>8</v>
      </c>
      <c r="D12">
        <v>0</v>
      </c>
      <c r="E12" t="s">
        <v>41</v>
      </c>
    </row>
    <row r="13" spans="1:10" ht="15" customHeight="1" x14ac:dyDescent="0.2">
      <c r="A13" t="s">
        <v>50</v>
      </c>
      <c r="D13">
        <v>0</v>
      </c>
      <c r="E13" t="s">
        <v>51</v>
      </c>
    </row>
    <row r="14" spans="1:10" ht="15" customHeight="1" x14ac:dyDescent="0.2">
      <c r="A14" t="s">
        <v>52</v>
      </c>
      <c r="D14">
        <v>0</v>
      </c>
      <c r="E14" t="s">
        <v>27</v>
      </c>
    </row>
    <row r="15" spans="1:10" ht="15" customHeight="1" x14ac:dyDescent="0.2">
      <c r="A15" t="s">
        <v>53</v>
      </c>
      <c r="B15" t="s">
        <v>54</v>
      </c>
      <c r="C15" t="s">
        <v>55</v>
      </c>
      <c r="D15">
        <v>0</v>
      </c>
      <c r="E15" t="s">
        <v>56</v>
      </c>
      <c r="F15" t="s">
        <v>57</v>
      </c>
    </row>
    <row r="16" spans="1:10" ht="15" customHeight="1" x14ac:dyDescent="0.2">
      <c r="A16" t="s">
        <v>58</v>
      </c>
      <c r="D16">
        <v>0</v>
      </c>
      <c r="E16" t="s">
        <v>27</v>
      </c>
    </row>
    <row r="17" spans="1:5" ht="15" customHeight="1" x14ac:dyDescent="0.2">
      <c r="A17" t="s">
        <v>59</v>
      </c>
      <c r="B17" t="s">
        <v>14</v>
      </c>
      <c r="C17" t="s">
        <v>8</v>
      </c>
      <c r="D17">
        <v>0</v>
      </c>
      <c r="E17" t="s">
        <v>27</v>
      </c>
    </row>
    <row r="18" spans="1:5" ht="15" customHeight="1" x14ac:dyDescent="0.2">
      <c r="A18" t="s">
        <v>60</v>
      </c>
      <c r="B18" t="s">
        <v>14</v>
      </c>
      <c r="C18" t="s">
        <v>8</v>
      </c>
      <c r="D18">
        <v>0</v>
      </c>
      <c r="E18" t="s">
        <v>41</v>
      </c>
    </row>
    <row r="19" spans="1:5" ht="15" customHeight="1" x14ac:dyDescent="0.2">
      <c r="A19" t="s">
        <v>61</v>
      </c>
      <c r="B19" t="s">
        <v>14</v>
      </c>
      <c r="C19" t="s">
        <v>8</v>
      </c>
      <c r="D19">
        <v>1</v>
      </c>
      <c r="E19" s="3" t="b">
        <f>TRUE()</f>
        <v>1</v>
      </c>
    </row>
    <row r="20" spans="1:5" ht="15" customHeight="1" x14ac:dyDescent="0.2">
      <c r="A20" t="s">
        <v>62</v>
      </c>
      <c r="E20">
        <v>2</v>
      </c>
    </row>
    <row r="21" spans="1:5" x14ac:dyDescent="0.2">
      <c r="A21" t="s">
        <v>63</v>
      </c>
      <c r="B21" t="s">
        <v>64</v>
      </c>
      <c r="D21">
        <v>0</v>
      </c>
      <c r="E21" t="s">
        <v>64</v>
      </c>
    </row>
    <row r="22" spans="1:5" x14ac:dyDescent="0.2">
      <c r="A22" t="s">
        <v>65</v>
      </c>
      <c r="D22">
        <v>0</v>
      </c>
      <c r="E22" t="s">
        <v>66</v>
      </c>
    </row>
    <row r="23" spans="1:5" x14ac:dyDescent="0.2">
      <c r="A23" t="s">
        <v>67</v>
      </c>
      <c r="D23">
        <v>0</v>
      </c>
      <c r="E23">
        <v>30</v>
      </c>
    </row>
    <row r="24" spans="1:5" x14ac:dyDescent="0.2">
      <c r="A24" t="s">
        <v>68</v>
      </c>
      <c r="D24">
        <v>0</v>
      </c>
      <c r="E24" t="s">
        <v>69</v>
      </c>
    </row>
    <row r="25" spans="1:5" x14ac:dyDescent="0.2">
      <c r="A25" t="s">
        <v>70</v>
      </c>
      <c r="D25">
        <v>0</v>
      </c>
      <c r="E25">
        <v>2</v>
      </c>
    </row>
    <row r="26" spans="1:5" x14ac:dyDescent="0.2">
      <c r="A26" t="s">
        <v>71</v>
      </c>
      <c r="D26">
        <v>0</v>
      </c>
      <c r="E26">
        <v>0</v>
      </c>
    </row>
    <row r="27" spans="1:5" x14ac:dyDescent="0.2">
      <c r="A27" t="s">
        <v>72</v>
      </c>
      <c r="D27">
        <v>0</v>
      </c>
      <c r="E27">
        <v>0.9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48576"/>
  <sheetViews>
    <sheetView zoomScale="110" zoomScaleNormal="110" workbookViewId="0">
      <selection activeCell="Y32" sqref="Y32"/>
    </sheetView>
  </sheetViews>
  <sheetFormatPr baseColWidth="10" defaultColWidth="8.6640625" defaultRowHeight="15" x14ac:dyDescent="0.2"/>
  <cols>
    <col min="5" max="5" width="24.83203125" customWidth="1"/>
  </cols>
  <sheetData>
    <row r="1" spans="1:11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73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74</v>
      </c>
    </row>
    <row r="2" spans="1:11" ht="15" customHeight="1" x14ac:dyDescent="0.2">
      <c r="A2" t="s">
        <v>75</v>
      </c>
      <c r="D2">
        <v>0</v>
      </c>
      <c r="E2" t="s">
        <v>76</v>
      </c>
    </row>
    <row r="3" spans="1:11" ht="15" customHeight="1" x14ac:dyDescent="0.2">
      <c r="A3" t="s">
        <v>77</v>
      </c>
      <c r="E3" t="s">
        <v>27</v>
      </c>
      <c r="G3" t="s">
        <v>78</v>
      </c>
    </row>
    <row r="4" spans="1:11" ht="15" customHeight="1" x14ac:dyDescent="0.2">
      <c r="A4" t="s">
        <v>79</v>
      </c>
      <c r="E4" t="s">
        <v>37</v>
      </c>
    </row>
    <row r="5" spans="1:11" ht="15" customHeight="1" x14ac:dyDescent="0.2">
      <c r="A5" t="s">
        <v>80</v>
      </c>
      <c r="E5" t="s">
        <v>56</v>
      </c>
    </row>
    <row r="6" spans="1:11" ht="15" customHeight="1" x14ac:dyDescent="0.2">
      <c r="A6" t="s">
        <v>81</v>
      </c>
      <c r="E6" t="s">
        <v>82</v>
      </c>
      <c r="F6" t="s">
        <v>83</v>
      </c>
      <c r="G6" t="s">
        <v>84</v>
      </c>
      <c r="H6" t="s">
        <v>85</v>
      </c>
      <c r="I6" t="s">
        <v>86</v>
      </c>
      <c r="J6" t="s">
        <v>87</v>
      </c>
      <c r="K6" t="s">
        <v>88</v>
      </c>
    </row>
    <row r="7" spans="1:11" ht="15" customHeight="1" x14ac:dyDescent="0.2">
      <c r="A7" t="s">
        <v>89</v>
      </c>
      <c r="B7" t="s">
        <v>90</v>
      </c>
      <c r="C7" t="s">
        <v>8</v>
      </c>
      <c r="D7">
        <v>0</v>
      </c>
      <c r="E7" t="s">
        <v>76</v>
      </c>
      <c r="I7" t="s">
        <v>91</v>
      </c>
    </row>
    <row r="8" spans="1:11" ht="15" customHeight="1" x14ac:dyDescent="0.2">
      <c r="A8" t="s">
        <v>92</v>
      </c>
      <c r="B8" t="s">
        <v>14</v>
      </c>
      <c r="C8" t="s">
        <v>8</v>
      </c>
      <c r="D8">
        <v>0</v>
      </c>
      <c r="E8" t="s">
        <v>41</v>
      </c>
    </row>
    <row r="9" spans="1:11" ht="15" customHeight="1" x14ac:dyDescent="0.2">
      <c r="A9" t="s">
        <v>93</v>
      </c>
      <c r="B9" t="s">
        <v>94</v>
      </c>
      <c r="D9">
        <v>0</v>
      </c>
      <c r="E9" t="s">
        <v>95</v>
      </c>
    </row>
    <row r="10" spans="1:11" ht="15" customHeight="1" x14ac:dyDescent="0.2">
      <c r="A10" t="s">
        <v>96</v>
      </c>
      <c r="B10" t="s">
        <v>97</v>
      </c>
      <c r="E10">
        <v>0</v>
      </c>
    </row>
    <row r="11" spans="1:11" ht="15" customHeight="1" x14ac:dyDescent="0.2">
      <c r="A11" t="s">
        <v>98</v>
      </c>
    </row>
    <row r="12" spans="1:11" ht="15" customHeight="1" x14ac:dyDescent="0.2"/>
    <row r="13" spans="1:11" ht="15" customHeight="1" x14ac:dyDescent="0.2"/>
    <row r="14" spans="1:11" ht="15" customHeight="1" x14ac:dyDescent="0.2">
      <c r="A14" t="s">
        <v>99</v>
      </c>
      <c r="E14">
        <v>192</v>
      </c>
    </row>
    <row r="15" spans="1:11" ht="15" customHeight="1" x14ac:dyDescent="0.2">
      <c r="A15" t="s">
        <v>100</v>
      </c>
      <c r="E15">
        <v>128</v>
      </c>
    </row>
    <row r="1048575" ht="12.75" customHeight="1" x14ac:dyDescent="0.2"/>
    <row r="1048576" ht="12.7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zoomScale="110" zoomScaleNormal="110" workbookViewId="0">
      <selection activeCell="L48" sqref="L48"/>
    </sheetView>
  </sheetViews>
  <sheetFormatPr baseColWidth="10" defaultColWidth="8.6640625" defaultRowHeight="15" x14ac:dyDescent="0.2"/>
  <cols>
    <col min="1" max="1" width="20" customWidth="1"/>
    <col min="2" max="2" width="18.33203125" customWidth="1"/>
  </cols>
  <sheetData>
    <row r="1" spans="1:8" ht="15" customHeight="1" x14ac:dyDescent="0.2">
      <c r="A1" s="1" t="s">
        <v>0</v>
      </c>
      <c r="B1" s="1" t="s">
        <v>3</v>
      </c>
      <c r="C1" s="1" t="s">
        <v>2</v>
      </c>
      <c r="D1" s="1" t="s">
        <v>101</v>
      </c>
      <c r="E1" s="1" t="s">
        <v>1</v>
      </c>
      <c r="F1" s="1" t="s">
        <v>102</v>
      </c>
      <c r="G1" s="1" t="s">
        <v>4</v>
      </c>
      <c r="H1" s="1" t="s">
        <v>16</v>
      </c>
    </row>
    <row r="2" spans="1:8" ht="15" customHeight="1" x14ac:dyDescent="0.2">
      <c r="A2" t="s">
        <v>103</v>
      </c>
      <c r="B2">
        <v>1</v>
      </c>
      <c r="C2" t="s">
        <v>104</v>
      </c>
      <c r="D2" t="s">
        <v>105</v>
      </c>
      <c r="E2" t="s">
        <v>106</v>
      </c>
      <c r="F2">
        <v>0.1</v>
      </c>
      <c r="G2" t="s">
        <v>107</v>
      </c>
    </row>
    <row r="3" spans="1:8" ht="15" customHeight="1" x14ac:dyDescent="0.2">
      <c r="A3" t="s">
        <v>108</v>
      </c>
      <c r="B3">
        <v>1</v>
      </c>
      <c r="C3" t="s">
        <v>104</v>
      </c>
      <c r="D3" t="s">
        <v>105</v>
      </c>
      <c r="E3" t="s">
        <v>109</v>
      </c>
      <c r="F3">
        <v>0.1</v>
      </c>
      <c r="G3" t="s">
        <v>110</v>
      </c>
      <c r="H3" t="s">
        <v>111</v>
      </c>
    </row>
    <row r="4" spans="1:8" ht="15" customHeight="1" x14ac:dyDescent="0.2">
      <c r="A4" t="s">
        <v>112</v>
      </c>
      <c r="B4">
        <v>1</v>
      </c>
      <c r="C4" t="s">
        <v>104</v>
      </c>
      <c r="D4" t="s">
        <v>105</v>
      </c>
      <c r="E4" t="s">
        <v>109</v>
      </c>
      <c r="F4">
        <v>0.1</v>
      </c>
      <c r="G4" t="s">
        <v>110</v>
      </c>
    </row>
    <row r="5" spans="1:8" ht="15" customHeight="1" x14ac:dyDescent="0.2">
      <c r="A5" t="s">
        <v>113</v>
      </c>
      <c r="B5">
        <v>0</v>
      </c>
      <c r="C5" t="s">
        <v>104</v>
      </c>
      <c r="D5" t="s">
        <v>105</v>
      </c>
      <c r="E5" t="s">
        <v>114</v>
      </c>
      <c r="F5">
        <v>0.1</v>
      </c>
      <c r="G5" t="s">
        <v>115</v>
      </c>
    </row>
    <row r="6" spans="1:8" ht="15" customHeight="1" x14ac:dyDescent="0.2">
      <c r="A6" t="s">
        <v>116</v>
      </c>
      <c r="B6">
        <v>0</v>
      </c>
      <c r="C6" t="s">
        <v>117</v>
      </c>
      <c r="D6" t="s">
        <v>105</v>
      </c>
      <c r="E6" t="s">
        <v>118</v>
      </c>
      <c r="F6">
        <v>0.1</v>
      </c>
      <c r="G6" t="s">
        <v>48</v>
      </c>
    </row>
    <row r="7" spans="1:8" ht="15" customHeight="1" x14ac:dyDescent="0.2">
      <c r="A7" t="s">
        <v>119</v>
      </c>
      <c r="B7">
        <v>0</v>
      </c>
      <c r="C7" t="s">
        <v>104</v>
      </c>
      <c r="D7" t="s">
        <v>105</v>
      </c>
      <c r="E7" t="s">
        <v>114</v>
      </c>
      <c r="F7">
        <v>0.1</v>
      </c>
      <c r="G7" t="s">
        <v>118</v>
      </c>
    </row>
    <row r="8" spans="1:8" ht="15" customHeight="1" x14ac:dyDescent="0.2">
      <c r="A8" t="s">
        <v>120</v>
      </c>
      <c r="B8">
        <v>1</v>
      </c>
      <c r="C8" t="s">
        <v>104</v>
      </c>
      <c r="D8" t="s">
        <v>105</v>
      </c>
      <c r="E8" t="s">
        <v>121</v>
      </c>
      <c r="F8">
        <v>0.1</v>
      </c>
      <c r="G8" t="s">
        <v>122</v>
      </c>
    </row>
    <row r="9" spans="1:8" ht="15" customHeight="1" x14ac:dyDescent="0.2">
      <c r="A9" t="s">
        <v>123</v>
      </c>
      <c r="B9">
        <v>0</v>
      </c>
      <c r="C9" t="s">
        <v>8</v>
      </c>
      <c r="D9" t="s">
        <v>105</v>
      </c>
      <c r="E9" t="s">
        <v>14</v>
      </c>
      <c r="F9">
        <v>0.1</v>
      </c>
      <c r="G9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zoomScale="110" zoomScaleNormal="110" workbookViewId="0"/>
  </sheetViews>
  <sheetFormatPr baseColWidth="10" defaultColWidth="8.6640625" defaultRowHeight="15" x14ac:dyDescent="0.2"/>
  <sheetData>
    <row r="1" spans="1:6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124</v>
      </c>
    </row>
    <row r="2" spans="1:6" ht="15" customHeight="1" x14ac:dyDescent="0.2">
      <c r="A2" t="s">
        <v>125</v>
      </c>
      <c r="C2" t="s">
        <v>126</v>
      </c>
      <c r="D2">
        <v>0</v>
      </c>
      <c r="E2" t="s">
        <v>127</v>
      </c>
    </row>
    <row r="3" spans="1:6" ht="15" customHeight="1" x14ac:dyDescent="0.2">
      <c r="A3" t="s">
        <v>128</v>
      </c>
      <c r="B3" t="s">
        <v>129</v>
      </c>
      <c r="C3" t="s">
        <v>130</v>
      </c>
      <c r="D3">
        <v>0</v>
      </c>
      <c r="E3" t="s">
        <v>41</v>
      </c>
      <c r="F3" t="s">
        <v>131</v>
      </c>
    </row>
    <row r="4" spans="1:6" ht="15" customHeight="1" x14ac:dyDescent="0.2">
      <c r="A4" t="s">
        <v>132</v>
      </c>
      <c r="B4" t="s">
        <v>121</v>
      </c>
      <c r="C4" t="s">
        <v>104</v>
      </c>
      <c r="D4">
        <v>0</v>
      </c>
      <c r="E4" t="s">
        <v>133</v>
      </c>
    </row>
    <row r="5" spans="1:6" ht="15" customHeight="1" x14ac:dyDescent="0.2">
      <c r="A5" t="s">
        <v>134</v>
      </c>
      <c r="D5">
        <v>0</v>
      </c>
      <c r="E5" t="s">
        <v>41</v>
      </c>
    </row>
    <row r="6" spans="1:6" ht="15" customHeight="1" x14ac:dyDescent="0.2">
      <c r="A6" t="s">
        <v>135</v>
      </c>
      <c r="B6" t="s">
        <v>136</v>
      </c>
      <c r="C6" t="s">
        <v>130</v>
      </c>
      <c r="D6">
        <v>0</v>
      </c>
      <c r="E6" t="s">
        <v>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zoomScale="110" zoomScaleNormal="110" workbookViewId="0">
      <selection activeCell="E8" sqref="E8"/>
    </sheetView>
  </sheetViews>
  <sheetFormatPr baseColWidth="10" defaultColWidth="8.6640625" defaultRowHeight="15" x14ac:dyDescent="0.2"/>
  <sheetData>
    <row r="1" spans="1:6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137</v>
      </c>
    </row>
    <row r="2" spans="1:6" ht="15" customHeight="1" x14ac:dyDescent="0.2">
      <c r="A2" t="s">
        <v>138</v>
      </c>
      <c r="D2">
        <v>0</v>
      </c>
    </row>
    <row r="3" spans="1:6" ht="15" customHeight="1" x14ac:dyDescent="0.2">
      <c r="A3" t="s">
        <v>139</v>
      </c>
      <c r="E3" t="s">
        <v>27</v>
      </c>
    </row>
    <row r="4" spans="1:6" ht="15" customHeight="1" x14ac:dyDescent="0.2">
      <c r="A4" t="s">
        <v>140</v>
      </c>
      <c r="D4">
        <v>0</v>
      </c>
      <c r="E4" t="s">
        <v>27</v>
      </c>
    </row>
    <row r="5" spans="1:6" ht="15" customHeight="1" x14ac:dyDescent="0.2">
      <c r="A5" t="s">
        <v>141</v>
      </c>
      <c r="D5">
        <v>0</v>
      </c>
      <c r="E5" t="s">
        <v>142</v>
      </c>
    </row>
    <row r="6" spans="1:6" ht="15" customHeight="1" x14ac:dyDescent="0.2">
      <c r="A6" t="s">
        <v>143</v>
      </c>
      <c r="D6">
        <v>0</v>
      </c>
      <c r="E6" t="s">
        <v>27</v>
      </c>
    </row>
    <row r="7" spans="1:6" ht="15" customHeight="1" x14ac:dyDescent="0.2">
      <c r="A7" t="s">
        <v>144</v>
      </c>
      <c r="E7" s="3" t="b">
        <f>FALSE()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47"/>
  <sheetViews>
    <sheetView zoomScale="110" zoomScaleNormal="11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4" sqref="A44"/>
    </sheetView>
  </sheetViews>
  <sheetFormatPr baseColWidth="10" defaultColWidth="10.1640625" defaultRowHeight="15" x14ac:dyDescent="0.2"/>
  <cols>
    <col min="1" max="1" width="8.6640625" customWidth="1"/>
    <col min="2" max="2" width="13.6640625" customWidth="1"/>
    <col min="3" max="3" width="8.6640625" customWidth="1"/>
    <col min="4" max="4" width="25.5" customWidth="1"/>
    <col min="5" max="6" width="8.6640625" customWidth="1"/>
    <col min="7" max="7" width="40.5" customWidth="1"/>
    <col min="8" max="8" width="8.6640625" customWidth="1"/>
    <col min="9" max="9" width="24.5" customWidth="1"/>
    <col min="10" max="10" width="8.6640625" customWidth="1"/>
    <col min="11" max="11" width="15" customWidth="1"/>
    <col min="12" max="14" width="8.6640625" customWidth="1"/>
    <col min="15" max="15" width="20.5" customWidth="1"/>
    <col min="16" max="16" width="13.33203125" customWidth="1"/>
    <col min="17" max="17" width="14.1640625" customWidth="1"/>
    <col min="18" max="18" width="20.5" customWidth="1"/>
    <col min="19" max="19" width="41.33203125" customWidth="1"/>
    <col min="20" max="20" width="24.83203125" customWidth="1"/>
    <col min="21" max="21" width="8.6640625" customWidth="1"/>
    <col min="22" max="22" width="13.1640625" customWidth="1"/>
    <col min="23" max="23" width="13.83203125" customWidth="1"/>
    <col min="24" max="24" width="22.1640625" customWidth="1"/>
    <col min="25" max="33" width="8.6640625" customWidth="1"/>
  </cols>
  <sheetData>
    <row r="1" spans="1:33" ht="15" customHeight="1" x14ac:dyDescent="0.2">
      <c r="A1" t="s">
        <v>145</v>
      </c>
      <c r="B1" t="s">
        <v>146</v>
      </c>
      <c r="C1" t="s">
        <v>137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P1" t="s">
        <v>159</v>
      </c>
      <c r="Q1" t="s">
        <v>160</v>
      </c>
      <c r="R1" t="s">
        <v>161</v>
      </c>
      <c r="S1" t="s">
        <v>162</v>
      </c>
      <c r="T1" t="s">
        <v>163</v>
      </c>
      <c r="U1" t="s">
        <v>80</v>
      </c>
      <c r="V1" t="s">
        <v>164</v>
      </c>
      <c r="W1" t="s">
        <v>0</v>
      </c>
      <c r="X1" t="s">
        <v>165</v>
      </c>
      <c r="Y1" t="s">
        <v>166</v>
      </c>
      <c r="Z1" t="s">
        <v>167</v>
      </c>
      <c r="AA1" t="s">
        <v>168</v>
      </c>
      <c r="AB1" t="s">
        <v>4</v>
      </c>
      <c r="AC1" t="s">
        <v>1</v>
      </c>
      <c r="AD1" t="s">
        <v>2</v>
      </c>
      <c r="AE1" t="s">
        <v>3</v>
      </c>
      <c r="AF1" t="s">
        <v>5</v>
      </c>
      <c r="AG1" t="s">
        <v>169</v>
      </c>
    </row>
    <row r="2" spans="1:33" ht="15" customHeight="1" x14ac:dyDescent="0.2">
      <c r="A2" t="s">
        <v>170</v>
      </c>
      <c r="B2">
        <v>1</v>
      </c>
      <c r="D2" t="s">
        <v>171</v>
      </c>
      <c r="E2" t="s">
        <v>41</v>
      </c>
      <c r="J2" t="s">
        <v>172</v>
      </c>
      <c r="L2" t="s">
        <v>173</v>
      </c>
      <c r="M2" t="s">
        <v>174</v>
      </c>
      <c r="N2" t="s">
        <v>175</v>
      </c>
      <c r="U2" t="s">
        <v>56</v>
      </c>
      <c r="V2" t="s">
        <v>176</v>
      </c>
      <c r="W2" t="s">
        <v>4</v>
      </c>
      <c r="X2" t="b">
        <f>TRUE()</f>
        <v>1</v>
      </c>
      <c r="Y2" t="b">
        <f>FALSE()</f>
        <v>0</v>
      </c>
    </row>
    <row r="3" spans="1:33" ht="15" customHeight="1" x14ac:dyDescent="0.2">
      <c r="A3" t="s">
        <v>170</v>
      </c>
      <c r="B3">
        <v>2</v>
      </c>
      <c r="D3" t="s">
        <v>171</v>
      </c>
      <c r="E3" t="s">
        <v>41</v>
      </c>
      <c r="G3" t="s">
        <v>177</v>
      </c>
      <c r="I3" t="s">
        <v>41</v>
      </c>
      <c r="J3" t="s">
        <v>178</v>
      </c>
      <c r="L3" t="s">
        <v>173</v>
      </c>
      <c r="M3" t="s">
        <v>174</v>
      </c>
      <c r="N3" t="s">
        <v>175</v>
      </c>
      <c r="S3" t="s">
        <v>179</v>
      </c>
      <c r="U3" t="s">
        <v>56</v>
      </c>
      <c r="V3" t="s">
        <v>176</v>
      </c>
      <c r="W3" t="s">
        <v>4</v>
      </c>
      <c r="X3" t="b">
        <f>TRUE()</f>
        <v>1</v>
      </c>
      <c r="Y3" t="b">
        <f>FALSE()</f>
        <v>0</v>
      </c>
    </row>
    <row r="4" spans="1:33" ht="15" customHeight="1" x14ac:dyDescent="0.2">
      <c r="A4" t="s">
        <v>170</v>
      </c>
      <c r="B4">
        <v>3</v>
      </c>
      <c r="D4" t="s">
        <v>170</v>
      </c>
      <c r="E4" t="s">
        <v>41</v>
      </c>
      <c r="J4" t="s">
        <v>180</v>
      </c>
      <c r="K4" t="s">
        <v>181</v>
      </c>
      <c r="L4" t="s">
        <v>173</v>
      </c>
      <c r="M4" t="s">
        <v>174</v>
      </c>
      <c r="N4" t="s">
        <v>175</v>
      </c>
      <c r="U4" t="s">
        <v>27</v>
      </c>
      <c r="V4" t="s">
        <v>176</v>
      </c>
      <c r="W4" t="s">
        <v>4</v>
      </c>
      <c r="X4" t="b">
        <f>TRUE()</f>
        <v>1</v>
      </c>
      <c r="Y4" t="b">
        <f>FALSE()</f>
        <v>0</v>
      </c>
    </row>
    <row r="5" spans="1:33" ht="15" customHeight="1" x14ac:dyDescent="0.2">
      <c r="A5" t="s">
        <v>170</v>
      </c>
      <c r="B5">
        <v>4</v>
      </c>
      <c r="D5" t="s">
        <v>170</v>
      </c>
      <c r="E5">
        <v>0</v>
      </c>
      <c r="J5" t="s">
        <v>178</v>
      </c>
      <c r="L5" t="s">
        <v>173</v>
      </c>
      <c r="M5" t="s">
        <v>174</v>
      </c>
      <c r="N5" t="s">
        <v>175</v>
      </c>
      <c r="V5" t="s">
        <v>176</v>
      </c>
      <c r="W5" t="s">
        <v>4</v>
      </c>
      <c r="X5" t="b">
        <f>TRUE()</f>
        <v>1</v>
      </c>
      <c r="Y5" t="b">
        <f>FALSE()</f>
        <v>0</v>
      </c>
    </row>
    <row r="6" spans="1:33" ht="15" customHeight="1" x14ac:dyDescent="0.2">
      <c r="A6" t="s">
        <v>170</v>
      </c>
      <c r="B6">
        <v>5</v>
      </c>
      <c r="D6" t="s">
        <v>171</v>
      </c>
      <c r="E6" t="s">
        <v>41</v>
      </c>
      <c r="J6" t="s">
        <v>172</v>
      </c>
      <c r="L6">
        <v>192</v>
      </c>
      <c r="M6" t="s">
        <v>174</v>
      </c>
      <c r="N6" t="s">
        <v>175</v>
      </c>
      <c r="U6" t="s">
        <v>56</v>
      </c>
      <c r="V6" t="s">
        <v>176</v>
      </c>
      <c r="W6" t="s">
        <v>4</v>
      </c>
      <c r="X6" t="b">
        <f>TRUE()</f>
        <v>1</v>
      </c>
      <c r="Y6" t="b">
        <f>FALSE()</f>
        <v>0</v>
      </c>
    </row>
    <row r="7" spans="1:33" ht="15" customHeight="1" x14ac:dyDescent="0.2">
      <c r="A7" t="s">
        <v>170</v>
      </c>
      <c r="B7">
        <v>6</v>
      </c>
      <c r="D7" t="s">
        <v>171</v>
      </c>
      <c r="E7">
        <v>50</v>
      </c>
      <c r="G7" t="s">
        <v>177</v>
      </c>
      <c r="J7" t="s">
        <v>178</v>
      </c>
      <c r="L7" t="s">
        <v>173</v>
      </c>
      <c r="M7" t="s">
        <v>174</v>
      </c>
      <c r="N7" t="s">
        <v>175</v>
      </c>
      <c r="S7" t="s">
        <v>179</v>
      </c>
      <c r="U7">
        <v>2</v>
      </c>
      <c r="V7" t="s">
        <v>176</v>
      </c>
      <c r="W7" t="s">
        <v>4</v>
      </c>
      <c r="X7" t="b">
        <f>TRUE()</f>
        <v>1</v>
      </c>
      <c r="Y7" t="b">
        <f>FALSE()</f>
        <v>0</v>
      </c>
    </row>
    <row r="8" spans="1:33" ht="15" customHeight="1" x14ac:dyDescent="0.2">
      <c r="A8" t="s">
        <v>170</v>
      </c>
      <c r="B8">
        <v>7</v>
      </c>
      <c r="D8" t="s">
        <v>171</v>
      </c>
      <c r="E8">
        <v>50</v>
      </c>
      <c r="G8" t="s">
        <v>177</v>
      </c>
      <c r="J8" t="s">
        <v>178</v>
      </c>
      <c r="L8">
        <v>192</v>
      </c>
      <c r="M8" t="s">
        <v>174</v>
      </c>
      <c r="N8" t="s">
        <v>175</v>
      </c>
      <c r="S8" t="s">
        <v>179</v>
      </c>
      <c r="U8">
        <v>2</v>
      </c>
      <c r="V8" t="s">
        <v>176</v>
      </c>
      <c r="W8" t="s">
        <v>4</v>
      </c>
      <c r="X8" t="b">
        <f>TRUE()</f>
        <v>1</v>
      </c>
      <c r="Y8" t="b">
        <f>FALSE()</f>
        <v>0</v>
      </c>
    </row>
    <row r="9" spans="1:33" ht="15" customHeight="1" x14ac:dyDescent="0.2">
      <c r="A9" t="s">
        <v>170</v>
      </c>
      <c r="B9">
        <v>8</v>
      </c>
      <c r="D9" t="s">
        <v>171</v>
      </c>
      <c r="E9">
        <v>75</v>
      </c>
      <c r="G9" t="s">
        <v>177</v>
      </c>
      <c r="J9" t="s">
        <v>178</v>
      </c>
      <c r="L9">
        <v>192</v>
      </c>
      <c r="M9" t="s">
        <v>174</v>
      </c>
      <c r="N9" t="s">
        <v>175</v>
      </c>
      <c r="S9" t="s">
        <v>179</v>
      </c>
      <c r="U9">
        <v>2</v>
      </c>
      <c r="V9" t="s">
        <v>176</v>
      </c>
      <c r="W9" t="s">
        <v>4</v>
      </c>
      <c r="X9" t="b">
        <f>TRUE()</f>
        <v>1</v>
      </c>
      <c r="Y9" t="b">
        <f>FALSE()</f>
        <v>0</v>
      </c>
    </row>
    <row r="10" spans="1:33" ht="15" customHeight="1" x14ac:dyDescent="0.2">
      <c r="A10" t="s">
        <v>182</v>
      </c>
      <c r="B10">
        <v>1</v>
      </c>
      <c r="D10" t="s">
        <v>183</v>
      </c>
      <c r="E10" t="s">
        <v>184</v>
      </c>
      <c r="F10" t="s">
        <v>27</v>
      </c>
      <c r="J10" t="s">
        <v>178</v>
      </c>
      <c r="L10" t="s">
        <v>173</v>
      </c>
      <c r="M10" t="s">
        <v>174</v>
      </c>
      <c r="U10" t="s">
        <v>56</v>
      </c>
      <c r="V10" t="s">
        <v>176</v>
      </c>
      <c r="X10" t="b">
        <f>TRUE()</f>
        <v>1</v>
      </c>
      <c r="Y10" t="b">
        <f>FALSE()</f>
        <v>0</v>
      </c>
    </row>
    <row r="11" spans="1:33" ht="15" customHeight="1" x14ac:dyDescent="0.2">
      <c r="A11" t="s">
        <v>182</v>
      </c>
      <c r="B11">
        <v>3</v>
      </c>
      <c r="D11" t="s">
        <v>183</v>
      </c>
      <c r="J11" t="s">
        <v>172</v>
      </c>
      <c r="L11" t="s">
        <v>173</v>
      </c>
      <c r="M11" t="s">
        <v>174</v>
      </c>
      <c r="U11" t="s">
        <v>56</v>
      </c>
      <c r="V11" t="s">
        <v>176</v>
      </c>
      <c r="X11" t="b">
        <f>TRUE()</f>
        <v>1</v>
      </c>
      <c r="Y11" t="b">
        <f>FALSE()</f>
        <v>0</v>
      </c>
    </row>
    <row r="12" spans="1:33" ht="15" customHeight="1" x14ac:dyDescent="0.2">
      <c r="A12" t="s">
        <v>182</v>
      </c>
      <c r="B12">
        <v>4</v>
      </c>
      <c r="D12" t="s">
        <v>183</v>
      </c>
      <c r="E12" t="s">
        <v>185</v>
      </c>
      <c r="J12" t="s">
        <v>178</v>
      </c>
      <c r="L12" t="s">
        <v>173</v>
      </c>
      <c r="M12" t="s">
        <v>174</v>
      </c>
      <c r="U12" t="s">
        <v>56</v>
      </c>
      <c r="V12" t="s">
        <v>186</v>
      </c>
      <c r="X12" t="b">
        <f>TRUE()</f>
        <v>1</v>
      </c>
      <c r="Y12" t="b">
        <f>FALSE()</f>
        <v>0</v>
      </c>
    </row>
    <row r="13" spans="1:33" ht="15" customHeight="1" x14ac:dyDescent="0.2">
      <c r="A13" t="s">
        <v>182</v>
      </c>
      <c r="B13">
        <v>5</v>
      </c>
      <c r="D13" t="s">
        <v>183</v>
      </c>
      <c r="J13" t="s">
        <v>187</v>
      </c>
      <c r="K13" t="s">
        <v>188</v>
      </c>
      <c r="N13" t="s">
        <v>175</v>
      </c>
      <c r="U13" t="s">
        <v>27</v>
      </c>
      <c r="V13" t="s">
        <v>176</v>
      </c>
      <c r="X13" t="b">
        <f>TRUE()</f>
        <v>1</v>
      </c>
      <c r="Y13" t="b">
        <f>FALSE()</f>
        <v>0</v>
      </c>
    </row>
    <row r="14" spans="1:33" ht="15" customHeight="1" x14ac:dyDescent="0.2">
      <c r="A14" t="s">
        <v>182</v>
      </c>
      <c r="B14">
        <v>6</v>
      </c>
      <c r="D14" t="s">
        <v>183</v>
      </c>
      <c r="E14" t="s">
        <v>184</v>
      </c>
      <c r="J14" t="s">
        <v>187</v>
      </c>
      <c r="L14" t="s">
        <v>173</v>
      </c>
      <c r="M14" t="s">
        <v>174</v>
      </c>
      <c r="U14" t="s">
        <v>56</v>
      </c>
      <c r="V14" t="s">
        <v>176</v>
      </c>
      <c r="X14" t="b">
        <f>TRUE()</f>
        <v>1</v>
      </c>
      <c r="Y14" t="b">
        <f>FALSE()</f>
        <v>0</v>
      </c>
    </row>
    <row r="15" spans="1:33" ht="15" customHeight="1" x14ac:dyDescent="0.2">
      <c r="A15" t="s">
        <v>182</v>
      </c>
      <c r="B15">
        <v>7</v>
      </c>
      <c r="D15" t="s">
        <v>183</v>
      </c>
      <c r="E15" t="s">
        <v>189</v>
      </c>
      <c r="J15" t="s">
        <v>178</v>
      </c>
      <c r="L15" t="s">
        <v>173</v>
      </c>
      <c r="M15" t="s">
        <v>174</v>
      </c>
      <c r="U15" t="s">
        <v>56</v>
      </c>
      <c r="V15" t="s">
        <v>176</v>
      </c>
      <c r="X15" t="b">
        <f>TRUE()</f>
        <v>1</v>
      </c>
      <c r="Y15" t="b">
        <f>FALSE()</f>
        <v>0</v>
      </c>
    </row>
    <row r="16" spans="1:33" ht="15" customHeight="1" x14ac:dyDescent="0.2">
      <c r="A16" t="s">
        <v>182</v>
      </c>
      <c r="B16">
        <v>8</v>
      </c>
      <c r="D16" t="s">
        <v>183</v>
      </c>
      <c r="J16" t="s">
        <v>180</v>
      </c>
      <c r="K16">
        <v>7</v>
      </c>
      <c r="U16" t="s">
        <v>27</v>
      </c>
      <c r="X16" t="b">
        <f>TRUE()</f>
        <v>1</v>
      </c>
      <c r="Y16" t="b">
        <f>FALSE()</f>
        <v>0</v>
      </c>
    </row>
    <row r="17" spans="1:33" ht="15" customHeight="1" x14ac:dyDescent="0.2">
      <c r="A17" t="s">
        <v>182</v>
      </c>
      <c r="B17">
        <v>9</v>
      </c>
      <c r="D17" t="s">
        <v>183</v>
      </c>
      <c r="E17" t="s">
        <v>41</v>
      </c>
      <c r="J17" t="s">
        <v>178</v>
      </c>
      <c r="L17" t="s">
        <v>190</v>
      </c>
      <c r="M17" t="s">
        <v>174</v>
      </c>
      <c r="U17" t="s">
        <v>56</v>
      </c>
      <c r="V17" t="s">
        <v>186</v>
      </c>
      <c r="X17" t="b">
        <f>TRUE()</f>
        <v>1</v>
      </c>
      <c r="Y17" t="b">
        <f>FALSE()</f>
        <v>0</v>
      </c>
    </row>
    <row r="18" spans="1:33" ht="15" customHeight="1" x14ac:dyDescent="0.2">
      <c r="A18" t="s">
        <v>182</v>
      </c>
      <c r="B18">
        <v>11</v>
      </c>
      <c r="D18" t="s">
        <v>183</v>
      </c>
      <c r="E18" t="s">
        <v>184</v>
      </c>
      <c r="F18" t="s">
        <v>27</v>
      </c>
      <c r="J18" t="s">
        <v>178</v>
      </c>
      <c r="L18" t="s">
        <v>173</v>
      </c>
      <c r="M18" t="s">
        <v>174</v>
      </c>
      <c r="U18" t="s">
        <v>27</v>
      </c>
      <c r="V18" t="s">
        <v>176</v>
      </c>
      <c r="X18" t="b">
        <f>TRUE()</f>
        <v>1</v>
      </c>
      <c r="Y18" t="b">
        <f>FALSE()</f>
        <v>0</v>
      </c>
    </row>
    <row r="19" spans="1:33" ht="15" customHeight="1" x14ac:dyDescent="0.2">
      <c r="A19" t="s">
        <v>182</v>
      </c>
      <c r="B19">
        <v>2</v>
      </c>
      <c r="D19" t="s">
        <v>183</v>
      </c>
      <c r="E19">
        <v>40</v>
      </c>
      <c r="F19" t="s">
        <v>27</v>
      </c>
      <c r="J19" t="s">
        <v>187</v>
      </c>
      <c r="N19" t="s">
        <v>175</v>
      </c>
      <c r="V19" t="s">
        <v>176</v>
      </c>
      <c r="X19" t="b">
        <f>TRUE()</f>
        <v>1</v>
      </c>
      <c r="Y19" t="b">
        <f>FALSE()</f>
        <v>0</v>
      </c>
    </row>
    <row r="20" spans="1:33" ht="15" customHeight="1" x14ac:dyDescent="0.2">
      <c r="A20" t="s">
        <v>191</v>
      </c>
      <c r="B20">
        <v>1</v>
      </c>
      <c r="D20" t="s">
        <v>192</v>
      </c>
      <c r="E20" t="s">
        <v>41</v>
      </c>
      <c r="G20" t="s">
        <v>177</v>
      </c>
      <c r="I20" t="b">
        <f>FALSE()</f>
        <v>0</v>
      </c>
      <c r="J20" t="s">
        <v>178</v>
      </c>
      <c r="L20" t="s">
        <v>173</v>
      </c>
      <c r="M20" t="s">
        <v>174</v>
      </c>
      <c r="N20" t="s">
        <v>175</v>
      </c>
      <c r="S20" t="s">
        <v>193</v>
      </c>
      <c r="U20" t="s">
        <v>56</v>
      </c>
      <c r="V20" t="s">
        <v>176</v>
      </c>
      <c r="W20" t="s">
        <v>4</v>
      </c>
      <c r="X20" t="b">
        <f>TRUE()</f>
        <v>1</v>
      </c>
      <c r="Y20" t="b">
        <f>FALSE()</f>
        <v>0</v>
      </c>
    </row>
    <row r="21" spans="1:33" ht="15" customHeight="1" x14ac:dyDescent="0.2">
      <c r="A21" t="s">
        <v>191</v>
      </c>
      <c r="B21">
        <v>2</v>
      </c>
      <c r="D21" t="s">
        <v>192</v>
      </c>
      <c r="E21">
        <v>50</v>
      </c>
      <c r="G21" t="s">
        <v>177</v>
      </c>
      <c r="I21" t="b">
        <f>FALSE()</f>
        <v>0</v>
      </c>
      <c r="J21" t="s">
        <v>178</v>
      </c>
      <c r="L21" t="s">
        <v>173</v>
      </c>
      <c r="M21" t="s">
        <v>174</v>
      </c>
      <c r="N21" t="s">
        <v>175</v>
      </c>
      <c r="S21" t="s">
        <v>193</v>
      </c>
      <c r="U21" t="s">
        <v>56</v>
      </c>
      <c r="V21" t="s">
        <v>176</v>
      </c>
      <c r="W21" t="s">
        <v>4</v>
      </c>
      <c r="X21" t="b">
        <f>TRUE()</f>
        <v>1</v>
      </c>
      <c r="Y21" t="b">
        <f>FALSE()</f>
        <v>0</v>
      </c>
    </row>
    <row r="22" spans="1:33" ht="15" customHeight="1" x14ac:dyDescent="0.2">
      <c r="A22" t="s">
        <v>191</v>
      </c>
      <c r="B22">
        <v>3</v>
      </c>
      <c r="D22" t="s">
        <v>192</v>
      </c>
      <c r="E22">
        <v>50</v>
      </c>
      <c r="G22" t="s">
        <v>177</v>
      </c>
      <c r="I22" t="b">
        <f>FALSE()</f>
        <v>0</v>
      </c>
      <c r="J22" t="s">
        <v>178</v>
      </c>
      <c r="L22" t="s">
        <v>173</v>
      </c>
      <c r="M22" t="s">
        <v>174</v>
      </c>
      <c r="N22" t="s">
        <v>175</v>
      </c>
      <c r="Q22" t="s">
        <v>194</v>
      </c>
      <c r="S22" t="s">
        <v>193</v>
      </c>
      <c r="U22" t="s">
        <v>56</v>
      </c>
      <c r="V22" t="s">
        <v>176</v>
      </c>
      <c r="W22" t="s">
        <v>4</v>
      </c>
      <c r="X22" t="b">
        <f>FALSE()</f>
        <v>0</v>
      </c>
      <c r="Y22" t="b">
        <f>FALSE()</f>
        <v>0</v>
      </c>
    </row>
    <row r="23" spans="1:33" ht="15" customHeight="1" x14ac:dyDescent="0.2">
      <c r="A23" t="s">
        <v>191</v>
      </c>
      <c r="B23">
        <v>4</v>
      </c>
      <c r="D23" t="s">
        <v>192</v>
      </c>
      <c r="E23">
        <v>50</v>
      </c>
      <c r="G23" t="s">
        <v>177</v>
      </c>
      <c r="I23" t="b">
        <f>FALSE()</f>
        <v>0</v>
      </c>
      <c r="J23" t="s">
        <v>178</v>
      </c>
      <c r="L23" t="s">
        <v>173</v>
      </c>
      <c r="M23" t="s">
        <v>174</v>
      </c>
      <c r="N23" t="s">
        <v>175</v>
      </c>
      <c r="Q23" t="s">
        <v>194</v>
      </c>
      <c r="S23" t="s">
        <v>193</v>
      </c>
      <c r="U23">
        <v>1</v>
      </c>
      <c r="V23" t="s">
        <v>176</v>
      </c>
      <c r="W23" t="s">
        <v>4</v>
      </c>
      <c r="X23" t="b">
        <f>TRUE()</f>
        <v>1</v>
      </c>
      <c r="Y23" t="b">
        <f>FALSE()</f>
        <v>0</v>
      </c>
    </row>
    <row r="24" spans="1:33" ht="15" customHeight="1" x14ac:dyDescent="0.2">
      <c r="A24" t="s">
        <v>191</v>
      </c>
      <c r="B24">
        <v>5</v>
      </c>
      <c r="D24" t="s">
        <v>192</v>
      </c>
      <c r="E24">
        <v>50</v>
      </c>
      <c r="I24" t="b">
        <f>FALSE()</f>
        <v>0</v>
      </c>
      <c r="J24" t="s">
        <v>178</v>
      </c>
      <c r="L24" t="s">
        <v>173</v>
      </c>
      <c r="M24" t="s">
        <v>174</v>
      </c>
      <c r="N24" t="s">
        <v>175</v>
      </c>
      <c r="Q24" t="s">
        <v>194</v>
      </c>
      <c r="U24">
        <v>1</v>
      </c>
      <c r="V24" t="s">
        <v>176</v>
      </c>
      <c r="W24" t="s">
        <v>4</v>
      </c>
      <c r="X24" t="b">
        <f>TRUE()</f>
        <v>1</v>
      </c>
      <c r="Y24" t="b">
        <f>FALSE()</f>
        <v>0</v>
      </c>
    </row>
    <row r="25" spans="1:33" ht="15" customHeight="1" x14ac:dyDescent="0.2">
      <c r="A25" t="s">
        <v>191</v>
      </c>
      <c r="B25">
        <v>6</v>
      </c>
      <c r="D25" t="s">
        <v>192</v>
      </c>
      <c r="E25">
        <v>20</v>
      </c>
      <c r="I25" t="b">
        <f>FALSE()</f>
        <v>0</v>
      </c>
      <c r="J25" t="s">
        <v>187</v>
      </c>
      <c r="K25" t="s">
        <v>195</v>
      </c>
      <c r="L25" t="s">
        <v>173</v>
      </c>
      <c r="M25" t="s">
        <v>174</v>
      </c>
      <c r="N25" t="s">
        <v>175</v>
      </c>
      <c r="Q25" t="s">
        <v>194</v>
      </c>
      <c r="U25">
        <v>1</v>
      </c>
      <c r="V25" t="s">
        <v>176</v>
      </c>
      <c r="W25" t="s">
        <v>4</v>
      </c>
      <c r="X25" t="b">
        <f>TRUE()</f>
        <v>1</v>
      </c>
      <c r="Y25" t="b">
        <f>FALSE()</f>
        <v>0</v>
      </c>
    </row>
    <row r="26" spans="1:33" ht="15" customHeight="1" x14ac:dyDescent="0.2">
      <c r="A26" t="s">
        <v>191</v>
      </c>
      <c r="B26">
        <v>7</v>
      </c>
      <c r="D26" t="s">
        <v>192</v>
      </c>
      <c r="E26">
        <v>0</v>
      </c>
      <c r="I26" t="b">
        <f>FALSE()</f>
        <v>0</v>
      </c>
      <c r="J26" t="s">
        <v>178</v>
      </c>
      <c r="L26" t="s">
        <v>173</v>
      </c>
      <c r="M26" t="s">
        <v>174</v>
      </c>
      <c r="N26" t="s">
        <v>175</v>
      </c>
      <c r="Q26" t="s">
        <v>196</v>
      </c>
      <c r="U26">
        <v>1</v>
      </c>
      <c r="V26" t="s">
        <v>176</v>
      </c>
      <c r="W26" t="s">
        <v>4</v>
      </c>
      <c r="X26" t="b">
        <f>TRUE()</f>
        <v>1</v>
      </c>
      <c r="Y26" t="b">
        <f>FALSE()</f>
        <v>0</v>
      </c>
    </row>
    <row r="27" spans="1:33" ht="15" customHeight="1" x14ac:dyDescent="0.2">
      <c r="A27" t="s">
        <v>191</v>
      </c>
      <c r="B27">
        <v>8</v>
      </c>
      <c r="D27" t="s">
        <v>192</v>
      </c>
      <c r="E27">
        <v>0</v>
      </c>
      <c r="I27" t="b">
        <f>FALSE()</f>
        <v>0</v>
      </c>
      <c r="J27" t="s">
        <v>178</v>
      </c>
      <c r="L27">
        <v>96</v>
      </c>
      <c r="M27" t="s">
        <v>174</v>
      </c>
      <c r="N27" t="s">
        <v>175</v>
      </c>
      <c r="Q27" t="s">
        <v>196</v>
      </c>
      <c r="U27">
        <v>1</v>
      </c>
      <c r="V27" t="s">
        <v>197</v>
      </c>
      <c r="W27" t="s">
        <v>4</v>
      </c>
      <c r="X27" t="b">
        <f>TRUE()</f>
        <v>1</v>
      </c>
      <c r="Y27" t="b">
        <f>FALSE()</f>
        <v>0</v>
      </c>
    </row>
    <row r="28" spans="1:33" ht="15" customHeight="1" x14ac:dyDescent="0.2">
      <c r="A28" t="s">
        <v>198</v>
      </c>
      <c r="B28">
        <v>1</v>
      </c>
      <c r="D28" t="s">
        <v>198</v>
      </c>
      <c r="E28" t="s">
        <v>41</v>
      </c>
      <c r="J28" t="s">
        <v>172</v>
      </c>
      <c r="L28" t="s">
        <v>173</v>
      </c>
      <c r="M28" t="s">
        <v>174</v>
      </c>
      <c r="V28" t="s">
        <v>176</v>
      </c>
      <c r="W28" t="s">
        <v>4</v>
      </c>
      <c r="X28" t="b">
        <f>TRUE()</f>
        <v>1</v>
      </c>
      <c r="Y28" t="b">
        <f>FALSE()</f>
        <v>0</v>
      </c>
      <c r="AG28">
        <v>10</v>
      </c>
    </row>
    <row r="29" spans="1:33" ht="15" customHeight="1" x14ac:dyDescent="0.2">
      <c r="A29" t="s">
        <v>198</v>
      </c>
      <c r="B29">
        <v>2</v>
      </c>
      <c r="D29" t="s">
        <v>198</v>
      </c>
      <c r="E29" t="s">
        <v>48</v>
      </c>
      <c r="J29" t="s">
        <v>199</v>
      </c>
      <c r="K29" t="s">
        <v>181</v>
      </c>
      <c r="L29" t="s">
        <v>174</v>
      </c>
      <c r="M29" t="s">
        <v>174</v>
      </c>
      <c r="R29" t="s">
        <v>200</v>
      </c>
      <c r="W29" t="s">
        <v>4</v>
      </c>
      <c r="X29" t="b">
        <f>FALSE()</f>
        <v>0</v>
      </c>
      <c r="Y29" t="b">
        <f>FALSE()</f>
        <v>0</v>
      </c>
      <c r="AG29">
        <v>0</v>
      </c>
    </row>
    <row r="30" spans="1:33" ht="15" customHeight="1" x14ac:dyDescent="0.2">
      <c r="A30" t="s">
        <v>198</v>
      </c>
      <c r="B30">
        <v>3</v>
      </c>
      <c r="D30" t="s">
        <v>198</v>
      </c>
      <c r="E30" t="s">
        <v>41</v>
      </c>
      <c r="J30" t="s">
        <v>178</v>
      </c>
      <c r="L30" t="s">
        <v>174</v>
      </c>
      <c r="M30" t="s">
        <v>174</v>
      </c>
      <c r="U30" t="s">
        <v>56</v>
      </c>
      <c r="V30" t="s">
        <v>201</v>
      </c>
      <c r="W30" t="s">
        <v>4</v>
      </c>
      <c r="X30" t="b">
        <f>TRUE()</f>
        <v>1</v>
      </c>
      <c r="Y30" t="b">
        <f>FALSE()</f>
        <v>0</v>
      </c>
      <c r="AG30">
        <v>10</v>
      </c>
    </row>
    <row r="31" spans="1:33" ht="15" customHeight="1" x14ac:dyDescent="0.2">
      <c r="A31" t="s">
        <v>198</v>
      </c>
      <c r="B31">
        <v>4</v>
      </c>
      <c r="D31" t="s">
        <v>198</v>
      </c>
      <c r="E31" t="s">
        <v>202</v>
      </c>
      <c r="J31" t="s">
        <v>178</v>
      </c>
      <c r="L31" t="s">
        <v>173</v>
      </c>
      <c r="M31" t="s">
        <v>174</v>
      </c>
      <c r="U31" t="s">
        <v>56</v>
      </c>
      <c r="V31" t="s">
        <v>203</v>
      </c>
      <c r="W31" t="s">
        <v>4</v>
      </c>
      <c r="X31" t="b">
        <f>TRUE()</f>
        <v>1</v>
      </c>
      <c r="Y31" t="b">
        <f>FALSE()</f>
        <v>0</v>
      </c>
      <c r="AG31">
        <v>10</v>
      </c>
    </row>
    <row r="32" spans="1:33" ht="15" customHeight="1" x14ac:dyDescent="0.2">
      <c r="A32" t="s">
        <v>198</v>
      </c>
      <c r="B32">
        <v>5</v>
      </c>
      <c r="D32" t="s">
        <v>198</v>
      </c>
      <c r="E32" t="s">
        <v>202</v>
      </c>
      <c r="J32" t="s">
        <v>178</v>
      </c>
      <c r="L32" t="s">
        <v>173</v>
      </c>
      <c r="M32" t="s">
        <v>174</v>
      </c>
      <c r="Q32" t="s">
        <v>204</v>
      </c>
      <c r="U32" t="s">
        <v>56</v>
      </c>
      <c r="V32" t="s">
        <v>203</v>
      </c>
      <c r="W32" t="s">
        <v>4</v>
      </c>
      <c r="X32" t="b">
        <f>TRUE()</f>
        <v>1</v>
      </c>
      <c r="Y32" t="b">
        <f>FALSE()</f>
        <v>0</v>
      </c>
      <c r="AG32">
        <v>10</v>
      </c>
    </row>
    <row r="33" spans="1:33" ht="15" customHeight="1" x14ac:dyDescent="0.2">
      <c r="A33" t="s">
        <v>198</v>
      </c>
      <c r="B33">
        <v>6</v>
      </c>
      <c r="D33" t="s">
        <v>198</v>
      </c>
      <c r="E33" t="s">
        <v>202</v>
      </c>
      <c r="J33" t="s">
        <v>172</v>
      </c>
      <c r="L33" t="s">
        <v>205</v>
      </c>
      <c r="M33" t="s">
        <v>174</v>
      </c>
      <c r="O33" t="s">
        <v>204</v>
      </c>
      <c r="U33" t="s">
        <v>56</v>
      </c>
      <c r="V33" t="s">
        <v>203</v>
      </c>
      <c r="W33" t="s">
        <v>4</v>
      </c>
      <c r="X33" t="b">
        <f>FALSE()</f>
        <v>0</v>
      </c>
      <c r="Y33" t="b">
        <f>FALSE()</f>
        <v>0</v>
      </c>
      <c r="AG33">
        <v>10</v>
      </c>
    </row>
    <row r="34" spans="1:33" ht="15" customHeight="1" x14ac:dyDescent="0.2">
      <c r="A34" t="s">
        <v>206</v>
      </c>
      <c r="B34">
        <v>1</v>
      </c>
      <c r="D34" t="s">
        <v>207</v>
      </c>
      <c r="E34">
        <v>20</v>
      </c>
      <c r="J34" t="s">
        <v>208</v>
      </c>
      <c r="L34" t="s">
        <v>173</v>
      </c>
      <c r="M34" t="s">
        <v>174</v>
      </c>
      <c r="U34" t="s">
        <v>56</v>
      </c>
      <c r="V34" t="s">
        <v>203</v>
      </c>
      <c r="W34" t="s">
        <v>4</v>
      </c>
      <c r="X34" t="b">
        <f>TRUE()</f>
        <v>1</v>
      </c>
      <c r="Y34" t="b">
        <f>FALSE()</f>
        <v>0</v>
      </c>
    </row>
    <row r="35" spans="1:33" ht="15" customHeight="1" x14ac:dyDescent="0.2">
      <c r="A35" t="s">
        <v>209</v>
      </c>
      <c r="B35">
        <v>1</v>
      </c>
      <c r="D35" t="s">
        <v>210</v>
      </c>
      <c r="E35">
        <v>50</v>
      </c>
      <c r="G35" t="s">
        <v>177</v>
      </c>
      <c r="I35" t="b">
        <f>FALSE()</f>
        <v>0</v>
      </c>
      <c r="J35" t="s">
        <v>178</v>
      </c>
      <c r="L35" t="s">
        <v>173</v>
      </c>
      <c r="M35" t="s">
        <v>174</v>
      </c>
      <c r="N35" t="s">
        <v>175</v>
      </c>
      <c r="S35" t="s">
        <v>211</v>
      </c>
      <c r="U35" t="s">
        <v>56</v>
      </c>
      <c r="V35" t="s">
        <v>176</v>
      </c>
      <c r="W35" t="s">
        <v>4</v>
      </c>
      <c r="X35" t="b">
        <f>TRUE()</f>
        <v>1</v>
      </c>
      <c r="Y35" t="b">
        <f>FALSE()</f>
        <v>0</v>
      </c>
    </row>
    <row r="36" spans="1:33" ht="15" customHeight="1" x14ac:dyDescent="0.2">
      <c r="A36" t="s">
        <v>209</v>
      </c>
      <c r="B36">
        <v>2</v>
      </c>
      <c r="D36" t="s">
        <v>210</v>
      </c>
      <c r="E36">
        <v>50</v>
      </c>
      <c r="G36" t="s">
        <v>177</v>
      </c>
      <c r="I36" t="b">
        <f>FALSE()</f>
        <v>0</v>
      </c>
      <c r="J36" t="s">
        <v>178</v>
      </c>
      <c r="L36">
        <v>192</v>
      </c>
      <c r="M36" t="s">
        <v>174</v>
      </c>
      <c r="N36" t="s">
        <v>175</v>
      </c>
      <c r="S36" t="s">
        <v>211</v>
      </c>
      <c r="U36" t="s">
        <v>56</v>
      </c>
      <c r="V36" t="s">
        <v>176</v>
      </c>
      <c r="W36" t="s">
        <v>4</v>
      </c>
      <c r="X36" t="b">
        <f>TRUE()</f>
        <v>1</v>
      </c>
      <c r="Y36" t="b">
        <f>FALSE()</f>
        <v>0</v>
      </c>
    </row>
    <row r="37" spans="1:33" ht="15" customHeight="1" x14ac:dyDescent="0.2">
      <c r="A37" t="s">
        <v>212</v>
      </c>
      <c r="B37">
        <v>1</v>
      </c>
      <c r="D37" t="s">
        <v>213</v>
      </c>
      <c r="E37">
        <v>50</v>
      </c>
      <c r="G37" t="s">
        <v>214</v>
      </c>
      <c r="I37" t="b">
        <f>FALSE()</f>
        <v>0</v>
      </c>
      <c r="J37" t="s">
        <v>178</v>
      </c>
      <c r="L37">
        <v>128</v>
      </c>
      <c r="M37" t="s">
        <v>174</v>
      </c>
      <c r="N37" t="s">
        <v>175</v>
      </c>
      <c r="O37" t="s">
        <v>215</v>
      </c>
      <c r="S37" t="s">
        <v>216</v>
      </c>
      <c r="U37">
        <v>1</v>
      </c>
      <c r="V37" t="s">
        <v>176</v>
      </c>
      <c r="W37" t="s">
        <v>4</v>
      </c>
      <c r="X37" t="b">
        <f>FALSE()</f>
        <v>0</v>
      </c>
      <c r="Y37" t="b">
        <f>FALSE()</f>
        <v>0</v>
      </c>
    </row>
    <row r="38" spans="1:33" ht="15" customHeight="1" x14ac:dyDescent="0.2">
      <c r="A38" t="s">
        <v>212</v>
      </c>
      <c r="B38">
        <v>2</v>
      </c>
      <c r="D38" t="s">
        <v>213</v>
      </c>
      <c r="E38">
        <v>100</v>
      </c>
      <c r="G38" t="s">
        <v>214</v>
      </c>
      <c r="I38" t="b">
        <f>FALSE()</f>
        <v>0</v>
      </c>
      <c r="J38" t="s">
        <v>178</v>
      </c>
      <c r="L38">
        <v>192</v>
      </c>
      <c r="M38" t="s">
        <v>174</v>
      </c>
      <c r="N38" t="s">
        <v>175</v>
      </c>
      <c r="O38" t="s">
        <v>215</v>
      </c>
      <c r="S38" t="s">
        <v>216</v>
      </c>
      <c r="U38">
        <v>1</v>
      </c>
      <c r="V38" t="s">
        <v>176</v>
      </c>
      <c r="W38" t="s">
        <v>4</v>
      </c>
      <c r="X38" t="b">
        <f>FALSE()</f>
        <v>0</v>
      </c>
      <c r="Y38" t="b">
        <f>FALSE()</f>
        <v>0</v>
      </c>
    </row>
    <row r="39" spans="1:33" ht="15" customHeight="1" x14ac:dyDescent="0.2">
      <c r="A39" t="s">
        <v>217</v>
      </c>
      <c r="B39">
        <v>1</v>
      </c>
      <c r="C39" t="s">
        <v>218</v>
      </c>
      <c r="D39" t="s">
        <v>219</v>
      </c>
      <c r="E39">
        <v>50</v>
      </c>
      <c r="I39" s="3" t="b">
        <f>FALSE()</f>
        <v>0</v>
      </c>
      <c r="J39" t="s">
        <v>178</v>
      </c>
      <c r="L39">
        <v>160</v>
      </c>
      <c r="M39">
        <v>96</v>
      </c>
      <c r="N39" t="s">
        <v>175</v>
      </c>
      <c r="P39">
        <v>3</v>
      </c>
      <c r="U39">
        <v>1</v>
      </c>
      <c r="V39" t="s">
        <v>176</v>
      </c>
      <c r="W39" t="s">
        <v>4</v>
      </c>
      <c r="X39" s="3" t="b">
        <f>TRUE()</f>
        <v>1</v>
      </c>
      <c r="Y39" s="3" t="b">
        <f>FALSE()</f>
        <v>0</v>
      </c>
    </row>
    <row r="40" spans="1:33" ht="15" customHeight="1" x14ac:dyDescent="0.2">
      <c r="A40" t="s">
        <v>217</v>
      </c>
      <c r="B40">
        <v>2</v>
      </c>
      <c r="D40" t="s">
        <v>219</v>
      </c>
      <c r="E40">
        <v>50</v>
      </c>
      <c r="I40" t="b">
        <f>FALSE()</f>
        <v>0</v>
      </c>
      <c r="J40" t="s">
        <v>178</v>
      </c>
      <c r="L40" t="s">
        <v>173</v>
      </c>
      <c r="M40" t="s">
        <v>174</v>
      </c>
      <c r="N40" t="s">
        <v>175</v>
      </c>
      <c r="P40">
        <v>2</v>
      </c>
      <c r="Q40" t="s">
        <v>220</v>
      </c>
      <c r="U40">
        <v>1</v>
      </c>
      <c r="V40" t="s">
        <v>176</v>
      </c>
      <c r="W40" t="s">
        <v>4</v>
      </c>
      <c r="X40" t="b">
        <f>TRUE()</f>
        <v>1</v>
      </c>
      <c r="Y40" t="b">
        <f>FALSE()</f>
        <v>0</v>
      </c>
      <c r="Z40">
        <v>6</v>
      </c>
    </row>
    <row r="41" spans="1:33" ht="15" customHeight="1" x14ac:dyDescent="0.2">
      <c r="A41" t="s">
        <v>217</v>
      </c>
      <c r="B41">
        <v>3</v>
      </c>
      <c r="D41" t="s">
        <v>219</v>
      </c>
      <c r="E41">
        <v>100</v>
      </c>
      <c r="I41" t="b">
        <f>FALSE()</f>
        <v>0</v>
      </c>
      <c r="J41" t="s">
        <v>178</v>
      </c>
      <c r="L41">
        <v>160</v>
      </c>
      <c r="M41" t="s">
        <v>174</v>
      </c>
      <c r="N41" t="s">
        <v>175</v>
      </c>
      <c r="P41">
        <v>2</v>
      </c>
      <c r="Q41" t="s">
        <v>220</v>
      </c>
      <c r="U41">
        <v>1</v>
      </c>
      <c r="V41" t="s">
        <v>176</v>
      </c>
      <c r="W41" t="s">
        <v>4</v>
      </c>
      <c r="X41" t="b">
        <f>TRUE()</f>
        <v>1</v>
      </c>
      <c r="Y41" t="b">
        <f>FALSE()</f>
        <v>0</v>
      </c>
      <c r="Z41">
        <v>6</v>
      </c>
    </row>
    <row r="42" spans="1:33" ht="15" customHeight="1" x14ac:dyDescent="0.2">
      <c r="A42" t="s">
        <v>217</v>
      </c>
      <c r="B42">
        <v>4</v>
      </c>
      <c r="D42" t="s">
        <v>219</v>
      </c>
      <c r="E42">
        <v>100</v>
      </c>
      <c r="I42" t="b">
        <f>FALSE()</f>
        <v>0</v>
      </c>
      <c r="J42" t="s">
        <v>178</v>
      </c>
      <c r="L42">
        <v>160</v>
      </c>
      <c r="M42">
        <v>64</v>
      </c>
      <c r="N42" t="s">
        <v>175</v>
      </c>
      <c r="P42">
        <v>2</v>
      </c>
      <c r="Q42" t="s">
        <v>220</v>
      </c>
      <c r="U42">
        <v>1</v>
      </c>
      <c r="V42" t="s">
        <v>176</v>
      </c>
      <c r="W42" t="s">
        <v>4</v>
      </c>
      <c r="X42" t="b">
        <f>TRUE()</f>
        <v>1</v>
      </c>
      <c r="Y42" t="b">
        <f>FALSE()</f>
        <v>0</v>
      </c>
      <c r="Z42">
        <v>6</v>
      </c>
    </row>
    <row r="43" spans="1:33" ht="15" customHeight="1" x14ac:dyDescent="0.2">
      <c r="A43" t="s">
        <v>217</v>
      </c>
      <c r="B43">
        <v>5</v>
      </c>
      <c r="D43" t="s">
        <v>219</v>
      </c>
      <c r="E43">
        <v>100</v>
      </c>
      <c r="I43" s="3" t="b">
        <f>FALSE()</f>
        <v>0</v>
      </c>
      <c r="J43" t="s">
        <v>178</v>
      </c>
      <c r="L43">
        <v>160</v>
      </c>
      <c r="M43">
        <v>64</v>
      </c>
      <c r="N43" t="s">
        <v>175</v>
      </c>
      <c r="P43">
        <v>2</v>
      </c>
      <c r="Q43" t="s">
        <v>220</v>
      </c>
      <c r="U43">
        <v>1</v>
      </c>
      <c r="V43" t="s">
        <v>176</v>
      </c>
      <c r="W43" t="s">
        <v>4</v>
      </c>
      <c r="X43" s="3" t="b">
        <f>TRUE()</f>
        <v>1</v>
      </c>
      <c r="Y43" s="3" t="b">
        <f>FALSE()</f>
        <v>0</v>
      </c>
      <c r="Z43">
        <v>6</v>
      </c>
    </row>
    <row r="44" spans="1:33" ht="15" customHeight="1" x14ac:dyDescent="0.2">
      <c r="A44" t="s">
        <v>217</v>
      </c>
      <c r="B44">
        <v>6</v>
      </c>
      <c r="D44" t="s">
        <v>219</v>
      </c>
      <c r="E44">
        <v>20</v>
      </c>
      <c r="I44" s="3" t="b">
        <f>FALSE()</f>
        <v>0</v>
      </c>
      <c r="J44" t="s">
        <v>178</v>
      </c>
      <c r="L44">
        <v>160</v>
      </c>
      <c r="M44">
        <v>96</v>
      </c>
      <c r="N44" t="s">
        <v>175</v>
      </c>
      <c r="P44">
        <v>2</v>
      </c>
      <c r="Q44" t="s">
        <v>220</v>
      </c>
      <c r="U44">
        <v>1</v>
      </c>
      <c r="V44" t="s">
        <v>176</v>
      </c>
      <c r="W44" t="s">
        <v>4</v>
      </c>
      <c r="X44" s="3" t="b">
        <f>TRUE()</f>
        <v>1</v>
      </c>
      <c r="Y44" s="3" t="b">
        <f>FALSE()</f>
        <v>0</v>
      </c>
      <c r="Z44">
        <v>6</v>
      </c>
    </row>
    <row r="45" spans="1:33" ht="15" customHeight="1" x14ac:dyDescent="0.2">
      <c r="A45" t="s">
        <v>217</v>
      </c>
      <c r="B45">
        <v>7</v>
      </c>
      <c r="D45" t="s">
        <v>219</v>
      </c>
      <c r="E45">
        <v>50</v>
      </c>
      <c r="I45" s="3" t="b">
        <f>FALSE()</f>
        <v>0</v>
      </c>
      <c r="J45" t="s">
        <v>178</v>
      </c>
      <c r="L45">
        <v>160</v>
      </c>
      <c r="M45">
        <v>96</v>
      </c>
      <c r="N45" t="s">
        <v>175</v>
      </c>
      <c r="P45">
        <v>2</v>
      </c>
      <c r="Q45" t="s">
        <v>220</v>
      </c>
      <c r="U45">
        <v>1</v>
      </c>
      <c r="V45" t="s">
        <v>176</v>
      </c>
      <c r="W45" t="s">
        <v>4</v>
      </c>
      <c r="X45" s="3" t="b">
        <f>TRUE()</f>
        <v>1</v>
      </c>
      <c r="Y45" s="3" t="b">
        <f>FALSE()</f>
        <v>0</v>
      </c>
      <c r="Z45">
        <v>6</v>
      </c>
    </row>
    <row r="46" spans="1:33" ht="15" customHeight="1" x14ac:dyDescent="0.2">
      <c r="A46" t="s">
        <v>217</v>
      </c>
      <c r="B46">
        <v>8</v>
      </c>
      <c r="D46" t="s">
        <v>219</v>
      </c>
      <c r="E46">
        <v>50</v>
      </c>
      <c r="I46" s="3" t="b">
        <f>FALSE()</f>
        <v>0</v>
      </c>
      <c r="J46" t="s">
        <v>178</v>
      </c>
      <c r="L46">
        <v>192</v>
      </c>
      <c r="M46">
        <v>128</v>
      </c>
      <c r="N46" t="s">
        <v>175</v>
      </c>
      <c r="P46">
        <v>2</v>
      </c>
      <c r="Q46" t="s">
        <v>220</v>
      </c>
      <c r="U46">
        <v>1</v>
      </c>
      <c r="V46" t="s">
        <v>221</v>
      </c>
      <c r="W46" t="s">
        <v>4</v>
      </c>
      <c r="X46" s="3" t="b">
        <f>TRUE()</f>
        <v>1</v>
      </c>
      <c r="Y46" s="3" t="b">
        <f>FALSE()</f>
        <v>0</v>
      </c>
      <c r="Z46">
        <v>6</v>
      </c>
    </row>
    <row r="47" spans="1:33" ht="15" customHeight="1" x14ac:dyDescent="0.2">
      <c r="A47" t="s">
        <v>222</v>
      </c>
      <c r="B47">
        <v>1</v>
      </c>
      <c r="D47" t="s">
        <v>223</v>
      </c>
      <c r="E47" t="s">
        <v>41</v>
      </c>
      <c r="G47" t="s">
        <v>177</v>
      </c>
      <c r="I47" s="3" t="b">
        <f>FALSE()</f>
        <v>0</v>
      </c>
      <c r="J47" t="s">
        <v>178</v>
      </c>
      <c r="L47">
        <v>64</v>
      </c>
      <c r="M47">
        <v>64</v>
      </c>
      <c r="O47" t="s">
        <v>224</v>
      </c>
      <c r="S47" t="s">
        <v>225</v>
      </c>
      <c r="U47" t="s">
        <v>56</v>
      </c>
      <c r="V47" t="s">
        <v>176</v>
      </c>
      <c r="W47" t="s">
        <v>4</v>
      </c>
      <c r="X47" s="3" t="b">
        <f>TRUE()</f>
        <v>1</v>
      </c>
      <c r="Y47" s="3" t="b">
        <f>FALSE()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2"/>
  <sheetViews>
    <sheetView zoomScaleNormal="100" workbookViewId="0">
      <selection activeCell="C4" sqref="C4"/>
    </sheetView>
  </sheetViews>
  <sheetFormatPr baseColWidth="10" defaultColWidth="8.6640625" defaultRowHeight="15" x14ac:dyDescent="0.2"/>
  <cols>
    <col min="1" max="1" width="48.1640625" customWidth="1"/>
    <col min="2" max="7" width="19.6640625" customWidth="1"/>
  </cols>
  <sheetData>
    <row r="1" spans="1:6" ht="15" customHeight="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" customHeight="1" x14ac:dyDescent="0.2">
      <c r="A2" t="s">
        <v>6</v>
      </c>
      <c r="B2" t="s">
        <v>7</v>
      </c>
      <c r="C2" t="s">
        <v>8</v>
      </c>
      <c r="D2">
        <v>0</v>
      </c>
      <c r="E2" t="s">
        <v>9</v>
      </c>
    </row>
    <row r="3" spans="1:6" ht="15" customHeight="1" x14ac:dyDescent="0.2">
      <c r="A3" t="s">
        <v>10</v>
      </c>
      <c r="B3" t="s">
        <v>11</v>
      </c>
      <c r="C3" t="s">
        <v>8</v>
      </c>
      <c r="D3">
        <v>0</v>
      </c>
      <c r="E3">
        <v>18</v>
      </c>
    </row>
    <row r="4" spans="1:6" ht="15" customHeight="1" x14ac:dyDescent="0.2">
      <c r="A4" t="s">
        <v>12</v>
      </c>
      <c r="D4">
        <v>0</v>
      </c>
      <c r="E4">
        <v>2</v>
      </c>
    </row>
    <row r="5" spans="1:6" ht="15" customHeight="1" x14ac:dyDescent="0.2">
      <c r="A5" t="s">
        <v>13</v>
      </c>
      <c r="B5" t="s">
        <v>14</v>
      </c>
      <c r="C5" t="s">
        <v>8</v>
      </c>
      <c r="D5">
        <v>0</v>
      </c>
      <c r="E5">
        <v>0</v>
      </c>
    </row>
    <row r="6" spans="1:6" ht="15" customHeight="1" x14ac:dyDescent="0.2"/>
    <row r="7" spans="1:6" ht="15" customHeight="1" x14ac:dyDescent="0.2"/>
    <row r="8" spans="1:6" ht="15" customHeight="1" x14ac:dyDescent="0.2"/>
    <row r="9" spans="1:6" ht="15" customHeight="1" x14ac:dyDescent="0.2">
      <c r="E9" s="3"/>
    </row>
    <row r="10" spans="1:6" ht="15" customHeight="1" x14ac:dyDescent="0.2"/>
    <row r="11" spans="1:6" ht="15" customHeight="1" x14ac:dyDescent="0.2"/>
    <row r="12" spans="1:6" ht="15" customHeight="1" x14ac:dyDescent="0.2">
      <c r="E12" s="3"/>
    </row>
    <row r="13" spans="1:6" ht="15" customHeight="1" x14ac:dyDescent="0.2">
      <c r="E13" s="3"/>
    </row>
    <row r="14" spans="1:6" ht="15" customHeight="1" x14ac:dyDescent="0.2"/>
    <row r="15" spans="1:6" ht="15" customHeight="1" x14ac:dyDescent="0.2"/>
    <row r="16" spans="1:6" ht="15" customHeight="1" x14ac:dyDescent="0.2">
      <c r="E16" s="3"/>
    </row>
    <row r="17" spans="5:5" ht="15" customHeight="1" x14ac:dyDescent="0.2">
      <c r="E17" s="3"/>
    </row>
    <row r="18" spans="5:5" ht="15" customHeight="1" x14ac:dyDescent="0.2"/>
    <row r="19" spans="5:5" ht="15" customHeight="1" x14ac:dyDescent="0.2"/>
    <row r="20" spans="5:5" ht="15" customHeight="1" x14ac:dyDescent="0.2">
      <c r="E20" s="3"/>
    </row>
    <row r="21" spans="5:5" ht="15" customHeight="1" x14ac:dyDescent="0.2"/>
    <row r="22" spans="5:5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2"/>
  <sheetViews>
    <sheetView tabSelected="1" topLeftCell="G1" zoomScaleNormal="100" workbookViewId="0">
      <selection activeCell="T2" sqref="T2"/>
    </sheetView>
  </sheetViews>
  <sheetFormatPr baseColWidth="10" defaultColWidth="10.1640625" defaultRowHeight="15" x14ac:dyDescent="0.2"/>
  <cols>
    <col min="6" max="6" width="25.1640625" customWidth="1"/>
    <col min="7" max="7" width="24.33203125" customWidth="1"/>
    <col min="9" max="9" width="17.5" customWidth="1"/>
    <col min="12" max="12" width="15.83203125" customWidth="1"/>
    <col min="13" max="13" width="15" customWidth="1"/>
    <col min="15" max="15" width="17.6640625" customWidth="1"/>
    <col min="17" max="21" width="23.83203125" customWidth="1"/>
  </cols>
  <sheetData>
    <row r="1" spans="1:33" ht="15" customHeight="1" x14ac:dyDescent="0.2">
      <c r="A1" t="s">
        <v>145</v>
      </c>
      <c r="B1" t="s">
        <v>146</v>
      </c>
      <c r="C1" t="s">
        <v>137</v>
      </c>
      <c r="D1" t="s">
        <v>147</v>
      </c>
      <c r="E1" t="s">
        <v>148</v>
      </c>
      <c r="F1" t="s">
        <v>226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P1" t="s">
        <v>159</v>
      </c>
      <c r="Q1" t="s">
        <v>160</v>
      </c>
      <c r="R1" t="s">
        <v>161</v>
      </c>
      <c r="S1" t="s">
        <v>162</v>
      </c>
      <c r="T1" t="s">
        <v>232</v>
      </c>
      <c r="U1" t="s">
        <v>80</v>
      </c>
      <c r="V1" t="s">
        <v>164</v>
      </c>
      <c r="W1" t="s">
        <v>0</v>
      </c>
      <c r="X1" t="s">
        <v>165</v>
      </c>
      <c r="Y1" t="s">
        <v>166</v>
      </c>
      <c r="Z1" t="s">
        <v>167</v>
      </c>
      <c r="AA1" t="s">
        <v>168</v>
      </c>
      <c r="AB1" t="s">
        <v>4</v>
      </c>
      <c r="AC1" t="s">
        <v>1</v>
      </c>
      <c r="AD1" t="s">
        <v>2</v>
      </c>
      <c r="AE1" t="s">
        <v>3</v>
      </c>
      <c r="AF1" t="s">
        <v>5</v>
      </c>
      <c r="AG1" t="s">
        <v>169</v>
      </c>
    </row>
    <row r="2" spans="1:33" ht="13.75" customHeight="1" x14ac:dyDescent="0.2">
      <c r="A2" t="s">
        <v>217</v>
      </c>
      <c r="B2">
        <v>1</v>
      </c>
      <c r="D2" t="s">
        <v>219</v>
      </c>
      <c r="E2" t="s">
        <v>227</v>
      </c>
      <c r="F2" t="s">
        <v>228</v>
      </c>
      <c r="J2" t="s">
        <v>229</v>
      </c>
      <c r="L2">
        <v>64</v>
      </c>
      <c r="M2">
        <v>64</v>
      </c>
      <c r="N2">
        <v>0</v>
      </c>
      <c r="O2" t="s">
        <v>230</v>
      </c>
      <c r="T2" t="s">
        <v>231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model_params</vt:lpstr>
      <vt:lpstr>dataset_params</vt:lpstr>
      <vt:lpstr>transform_factors</vt:lpstr>
      <vt:lpstr>affine3d</vt:lpstr>
      <vt:lpstr>loss_params</vt:lpstr>
      <vt:lpstr>plans</vt:lpstr>
      <vt:lpstr>resnet</vt:lpstr>
      <vt:lpstr>plans_dot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BASHIR, Usman (BARTS HEALTH NHS TRUST)</cp:lastModifiedBy>
  <cp:revision>182</cp:revision>
  <dcterms:created xsi:type="dcterms:W3CDTF">2025-08-25T17:03:20Z</dcterms:created>
  <dcterms:modified xsi:type="dcterms:W3CDTF">2026-03-26T21:08:27Z</dcterms:modified>
  <dc:language>en-US</dc:language>
</cp:coreProperties>
</file>